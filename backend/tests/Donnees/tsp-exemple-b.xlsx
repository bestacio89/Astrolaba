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activeX/activeX1.xml" ContentType="application/vnd.ms-office.activeX+xml"/>
  <Override PartName="/xl/activeX/activeX2.xml" ContentType="application/vnd.ms-office.activeX+xml"/>
  <Override PartName="/xl/activeX/activeX1.bin" ContentType="application/vnd.ms-office.activeX"/>
  <Override PartName="/xl/activeX/activeX2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 codeName="{00000000-0000-0000-0000-000000000000}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magellanpartners.sharepoint.com/sites/EN-PRJ-Agence Ouest/Documents partages/Groupe VYV/FY26 - MGEN - Windows Hello/Entrants/"/>
    </mc:Choice>
  </mc:AlternateContent>
  <xr:revisionPtr revIDLastSave="114" documentId="8_{C0E56DD4-71D2-4AA4-9A3B-762C1E300145}" xr6:coauthVersionLast="47" xr6:coauthVersionMax="47" xr10:uidLastSave="{67D0144F-97CD-43CF-9C16-5C33D9538B76}"/>
  <bookViews>
    <workbookView xWindow="28680" yWindow="-120" windowWidth="29040" windowHeight="15720" tabRatio="1000" firstSheet="7" activeTab="5" xr2:uid="{00000000-000D-0000-FFFF-FFFF00000000}"/>
  </bookViews>
  <sheets>
    <sheet name="FICHE PROJET" sheetId="15" r:id="rId1"/>
    <sheet name="SYNTHESE" sheetId="6" r:id="rId2"/>
    <sheet name="PROFIL" sheetId="2" r:id="rId3"/>
    <sheet name="ACHAT" sheetId="14" r:id="rId4"/>
    <sheet name="FRAIS" sheetId="13" r:id="rId5"/>
    <sheet name="WORKLOAD" sheetId="1" r:id="rId6"/>
    <sheet name="METRIQUE" sheetId="4" r:id="rId7"/>
    <sheet name="ECHEANCIER" sheetId="5" r:id="rId8"/>
    <sheet name="PLANNING" sheetId="3" r:id="rId9"/>
    <sheet name="VENTILATION CHARGE" sheetId="12" r:id="rId10"/>
    <sheet name="VERSION" sheetId="11" r:id="rId11"/>
    <sheet name="REF" sheetId="8" r:id="rId12"/>
  </sheets>
  <externalReferences>
    <externalReference r:id="rId13"/>
  </externalReferences>
  <definedNames>
    <definedName name="_xlnm._FilterDatabase" localSheetId="2" hidden="1">PROFIL!$B$5:$K$12</definedName>
    <definedName name="_xlnm._FilterDatabase" localSheetId="11" hidden="1">REF!#REF!</definedName>
    <definedName name="_xlnm._FilterDatabase" localSheetId="5" hidden="1">WORKLOAD!$A$4:$W$95</definedName>
    <definedName name="ACTIVITE">REF!$L$5:$L$20</definedName>
    <definedName name="AGENCE">REF!$N$5:$N$20</definedName>
    <definedName name="ETAPE" localSheetId="0">[1]REF!$D$5:$D$19</definedName>
    <definedName name="ETAPE">REF!$D$5:$D$23</definedName>
    <definedName name="MOIS" localSheetId="0">[1]REF!$H$5:$H$23</definedName>
    <definedName name="MOIS">REF!$H$5:$H$20</definedName>
    <definedName name="PHASE" localSheetId="0">[1]REF!$B$5:$B$11</definedName>
    <definedName name="PHASE">REF!$B$5:$B$12</definedName>
    <definedName name="PROFIL" localSheetId="0">[1]REF!$F$5:$F$13</definedName>
    <definedName name="PROFIL">REF!$F$5:$F$22</definedName>
    <definedName name="TYPE_ACHAT">REF!$J$5:$J$13</definedName>
    <definedName name="_xlnm.Print_Area" localSheetId="5">WORKLOAD!$A$1:$W$63</definedName>
  </definedNames>
  <calcPr calcId="191028"/>
  <pivotCaches>
    <pivotCache cacheId="35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O17" i="1"/>
  <c r="O19" i="1"/>
  <c r="P19" i="1"/>
  <c r="Q19" i="1"/>
  <c r="R19" i="1"/>
  <c r="S19" i="1"/>
  <c r="G19" i="1" s="1"/>
  <c r="T19" i="1"/>
  <c r="U19" i="1"/>
  <c r="F19" i="1"/>
  <c r="U29" i="1"/>
  <c r="T29" i="1"/>
  <c r="S29" i="1"/>
  <c r="R29" i="1"/>
  <c r="Q29" i="1"/>
  <c r="P29" i="1"/>
  <c r="O29" i="1"/>
  <c r="F29" i="1"/>
  <c r="U10" i="1"/>
  <c r="T10" i="1"/>
  <c r="S10" i="1"/>
  <c r="R10" i="1"/>
  <c r="Q10" i="1"/>
  <c r="P10" i="1"/>
  <c r="O10" i="1"/>
  <c r="F10" i="1"/>
  <c r="U11" i="1"/>
  <c r="T11" i="1"/>
  <c r="S11" i="1"/>
  <c r="R11" i="1"/>
  <c r="Q11" i="1"/>
  <c r="P11" i="1"/>
  <c r="O11" i="1"/>
  <c r="F11" i="1"/>
  <c r="O50" i="1"/>
  <c r="P50" i="1"/>
  <c r="Q50" i="1"/>
  <c r="R50" i="1"/>
  <c r="S50" i="1"/>
  <c r="T50" i="1"/>
  <c r="U50" i="1"/>
  <c r="F50" i="1"/>
  <c r="O47" i="1"/>
  <c r="P47" i="1"/>
  <c r="Q47" i="1"/>
  <c r="R47" i="1"/>
  <c r="S47" i="1"/>
  <c r="T47" i="1"/>
  <c r="U47" i="1"/>
  <c r="F47" i="1"/>
  <c r="O51" i="1"/>
  <c r="P51" i="1"/>
  <c r="Q51" i="1"/>
  <c r="R51" i="1"/>
  <c r="S51" i="1"/>
  <c r="T51" i="1"/>
  <c r="U51" i="1"/>
  <c r="F51" i="1"/>
  <c r="O35" i="1"/>
  <c r="P35" i="1"/>
  <c r="Q35" i="1"/>
  <c r="R35" i="1"/>
  <c r="S35" i="1"/>
  <c r="T35" i="1"/>
  <c r="U35" i="1"/>
  <c r="F35" i="1"/>
  <c r="O48" i="1"/>
  <c r="P48" i="1"/>
  <c r="Q48" i="1"/>
  <c r="R48" i="1"/>
  <c r="S48" i="1"/>
  <c r="T48" i="1"/>
  <c r="U48" i="1"/>
  <c r="F48" i="1"/>
  <c r="O49" i="1"/>
  <c r="P49" i="1"/>
  <c r="Q49" i="1"/>
  <c r="R49" i="1"/>
  <c r="S49" i="1"/>
  <c r="T49" i="1"/>
  <c r="U49" i="1"/>
  <c r="F49" i="1"/>
  <c r="O31" i="1"/>
  <c r="P31" i="1"/>
  <c r="Q31" i="1"/>
  <c r="R31" i="1"/>
  <c r="S31" i="1"/>
  <c r="T31" i="1"/>
  <c r="U31" i="1"/>
  <c r="F31" i="1"/>
  <c r="O36" i="1"/>
  <c r="P36" i="1"/>
  <c r="Q36" i="1"/>
  <c r="R36" i="1"/>
  <c r="S36" i="1"/>
  <c r="T36" i="1"/>
  <c r="U36" i="1"/>
  <c r="F36" i="1"/>
  <c r="F45" i="1"/>
  <c r="O52" i="1"/>
  <c r="P52" i="1"/>
  <c r="Q52" i="1"/>
  <c r="R52" i="1"/>
  <c r="S52" i="1"/>
  <c r="T52" i="1"/>
  <c r="U52" i="1"/>
  <c r="F52" i="1"/>
  <c r="O44" i="1"/>
  <c r="P44" i="1"/>
  <c r="Q44" i="1"/>
  <c r="R44" i="1"/>
  <c r="S44" i="1"/>
  <c r="T44" i="1"/>
  <c r="U44" i="1"/>
  <c r="F44" i="1"/>
  <c r="O39" i="1"/>
  <c r="P39" i="1"/>
  <c r="Q39" i="1"/>
  <c r="R39" i="1"/>
  <c r="S39" i="1"/>
  <c r="T39" i="1"/>
  <c r="U39" i="1"/>
  <c r="F39" i="1"/>
  <c r="O38" i="1"/>
  <c r="P38" i="1"/>
  <c r="Q38" i="1"/>
  <c r="R38" i="1"/>
  <c r="S38" i="1"/>
  <c r="T38" i="1"/>
  <c r="U38" i="1"/>
  <c r="F38" i="1"/>
  <c r="O45" i="1"/>
  <c r="P45" i="1"/>
  <c r="Q45" i="1"/>
  <c r="R45" i="1"/>
  <c r="S45" i="1"/>
  <c r="T45" i="1"/>
  <c r="U45" i="1"/>
  <c r="O40" i="1"/>
  <c r="P40" i="1"/>
  <c r="Q40" i="1"/>
  <c r="R40" i="1"/>
  <c r="S40" i="1"/>
  <c r="T40" i="1"/>
  <c r="U40" i="1"/>
  <c r="F40" i="1"/>
  <c r="O33" i="1"/>
  <c r="P33" i="1"/>
  <c r="Q33" i="1"/>
  <c r="R33" i="1"/>
  <c r="S33" i="1"/>
  <c r="T33" i="1"/>
  <c r="U33" i="1"/>
  <c r="F33" i="1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7" i="1"/>
  <c r="P7" i="1"/>
  <c r="Q7" i="1"/>
  <c r="R7" i="1"/>
  <c r="S7" i="1"/>
  <c r="T7" i="1"/>
  <c r="U7" i="1"/>
  <c r="O8" i="1"/>
  <c r="P8" i="1"/>
  <c r="Q8" i="1"/>
  <c r="R8" i="1"/>
  <c r="S8" i="1"/>
  <c r="T8" i="1"/>
  <c r="U8" i="1"/>
  <c r="O9" i="1"/>
  <c r="P9" i="1"/>
  <c r="Q9" i="1"/>
  <c r="R9" i="1"/>
  <c r="S9" i="1"/>
  <c r="T9" i="1"/>
  <c r="U9" i="1"/>
  <c r="O12" i="1"/>
  <c r="P12" i="1"/>
  <c r="Q12" i="1"/>
  <c r="R12" i="1"/>
  <c r="S12" i="1"/>
  <c r="T12" i="1"/>
  <c r="U12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5" i="1"/>
  <c r="P15" i="1"/>
  <c r="Q15" i="1"/>
  <c r="R15" i="1"/>
  <c r="S15" i="1"/>
  <c r="T15" i="1"/>
  <c r="U15" i="1"/>
  <c r="O16" i="1"/>
  <c r="P16" i="1"/>
  <c r="Q16" i="1"/>
  <c r="R16" i="1"/>
  <c r="S16" i="1"/>
  <c r="T16" i="1"/>
  <c r="U16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0" i="1"/>
  <c r="P20" i="1"/>
  <c r="Q20" i="1"/>
  <c r="R20" i="1"/>
  <c r="S20" i="1"/>
  <c r="T20" i="1"/>
  <c r="U20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3" i="1"/>
  <c r="P23" i="1"/>
  <c r="Q23" i="1"/>
  <c r="R23" i="1"/>
  <c r="S23" i="1"/>
  <c r="T23" i="1"/>
  <c r="U23" i="1"/>
  <c r="O24" i="1"/>
  <c r="P24" i="1"/>
  <c r="Q24" i="1"/>
  <c r="R24" i="1"/>
  <c r="S24" i="1"/>
  <c r="T24" i="1"/>
  <c r="U24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7" i="1"/>
  <c r="P27" i="1"/>
  <c r="Q27" i="1"/>
  <c r="R27" i="1"/>
  <c r="S27" i="1"/>
  <c r="T27" i="1"/>
  <c r="U27" i="1"/>
  <c r="O28" i="1"/>
  <c r="P28" i="1"/>
  <c r="Q28" i="1"/>
  <c r="R28" i="1"/>
  <c r="S28" i="1"/>
  <c r="T28" i="1"/>
  <c r="U28" i="1"/>
  <c r="O30" i="1"/>
  <c r="P30" i="1"/>
  <c r="Q30" i="1"/>
  <c r="R30" i="1"/>
  <c r="S30" i="1"/>
  <c r="G52" i="12" s="1"/>
  <c r="T30" i="1"/>
  <c r="U30" i="1"/>
  <c r="O32" i="1"/>
  <c r="P32" i="1"/>
  <c r="Q32" i="1"/>
  <c r="R32" i="1"/>
  <c r="S32" i="1"/>
  <c r="T32" i="1"/>
  <c r="U32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3" i="1"/>
  <c r="P43" i="1"/>
  <c r="Q43" i="1"/>
  <c r="R43" i="1"/>
  <c r="S43" i="1"/>
  <c r="T43" i="1"/>
  <c r="U43" i="1"/>
  <c r="O46" i="1"/>
  <c r="P46" i="1"/>
  <c r="Q46" i="1"/>
  <c r="R46" i="1"/>
  <c r="S46" i="1"/>
  <c r="T46" i="1"/>
  <c r="U46" i="1"/>
  <c r="O53" i="1"/>
  <c r="P53" i="1"/>
  <c r="Q53" i="1"/>
  <c r="R53" i="1"/>
  <c r="S53" i="1"/>
  <c r="T53" i="1"/>
  <c r="U53" i="1"/>
  <c r="O55" i="1"/>
  <c r="P55" i="1"/>
  <c r="Q55" i="1"/>
  <c r="R55" i="1"/>
  <c r="S55" i="1"/>
  <c r="T55" i="1"/>
  <c r="U55" i="1"/>
  <c r="O56" i="1"/>
  <c r="P56" i="1"/>
  <c r="Q56" i="1"/>
  <c r="R56" i="1"/>
  <c r="S56" i="1"/>
  <c r="T56" i="1"/>
  <c r="U56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59" i="1"/>
  <c r="P59" i="1"/>
  <c r="Q59" i="1"/>
  <c r="R59" i="1"/>
  <c r="S59" i="1"/>
  <c r="T59" i="1"/>
  <c r="U59" i="1"/>
  <c r="O60" i="1"/>
  <c r="P60" i="1"/>
  <c r="Q60" i="1"/>
  <c r="R60" i="1"/>
  <c r="S60" i="1"/>
  <c r="T60" i="1"/>
  <c r="U60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3" i="1"/>
  <c r="P63" i="1"/>
  <c r="Q63" i="1"/>
  <c r="R63" i="1"/>
  <c r="S63" i="1"/>
  <c r="T63" i="1"/>
  <c r="U63" i="1"/>
  <c r="F37" i="1"/>
  <c r="F32" i="1"/>
  <c r="F20" i="1"/>
  <c r="F18" i="1"/>
  <c r="F46" i="1"/>
  <c r="F6" i="1"/>
  <c r="F8" i="1"/>
  <c r="F9" i="1"/>
  <c r="F12" i="1"/>
  <c r="F13" i="1"/>
  <c r="F21" i="1"/>
  <c r="F22" i="1"/>
  <c r="F23" i="1"/>
  <c r="F41" i="1"/>
  <c r="F42" i="1"/>
  <c r="F43" i="1"/>
  <c r="F16" i="1"/>
  <c r="F15" i="1"/>
  <c r="F27" i="1"/>
  <c r="F26" i="1"/>
  <c r="F25" i="1"/>
  <c r="F24" i="1"/>
  <c r="F14" i="1"/>
  <c r="U94" i="1"/>
  <c r="T94" i="1"/>
  <c r="S94" i="1"/>
  <c r="R94" i="1"/>
  <c r="Q94" i="1"/>
  <c r="P94" i="1"/>
  <c r="O94" i="1"/>
  <c r="F94" i="1"/>
  <c r="U93" i="1"/>
  <c r="T93" i="1"/>
  <c r="S93" i="1"/>
  <c r="R93" i="1"/>
  <c r="Q93" i="1"/>
  <c r="P93" i="1"/>
  <c r="O93" i="1"/>
  <c r="F93" i="1"/>
  <c r="U92" i="1"/>
  <c r="T92" i="1"/>
  <c r="S92" i="1"/>
  <c r="R92" i="1"/>
  <c r="Q92" i="1"/>
  <c r="P92" i="1"/>
  <c r="O92" i="1"/>
  <c r="F92" i="1"/>
  <c r="U91" i="1"/>
  <c r="T91" i="1"/>
  <c r="S91" i="1"/>
  <c r="R91" i="1"/>
  <c r="Q91" i="1"/>
  <c r="P91" i="1"/>
  <c r="O91" i="1"/>
  <c r="F91" i="1"/>
  <c r="U90" i="1"/>
  <c r="T90" i="1"/>
  <c r="S90" i="1"/>
  <c r="R90" i="1"/>
  <c r="Q90" i="1"/>
  <c r="P90" i="1"/>
  <c r="O90" i="1"/>
  <c r="F90" i="1"/>
  <c r="U89" i="1"/>
  <c r="T89" i="1"/>
  <c r="S89" i="1"/>
  <c r="R89" i="1"/>
  <c r="Q89" i="1"/>
  <c r="P89" i="1"/>
  <c r="O89" i="1"/>
  <c r="F89" i="1"/>
  <c r="U88" i="1"/>
  <c r="T88" i="1"/>
  <c r="S88" i="1"/>
  <c r="R88" i="1"/>
  <c r="Q88" i="1"/>
  <c r="P88" i="1"/>
  <c r="O88" i="1"/>
  <c r="F88" i="1"/>
  <c r="U87" i="1"/>
  <c r="T87" i="1"/>
  <c r="S87" i="1"/>
  <c r="R87" i="1"/>
  <c r="Q87" i="1"/>
  <c r="P87" i="1"/>
  <c r="O87" i="1"/>
  <c r="F87" i="1"/>
  <c r="U86" i="1"/>
  <c r="T86" i="1"/>
  <c r="S86" i="1"/>
  <c r="R86" i="1"/>
  <c r="Q86" i="1"/>
  <c r="P86" i="1"/>
  <c r="O86" i="1"/>
  <c r="F86" i="1"/>
  <c r="U85" i="1"/>
  <c r="T85" i="1"/>
  <c r="S85" i="1"/>
  <c r="R85" i="1"/>
  <c r="Q85" i="1"/>
  <c r="P85" i="1"/>
  <c r="O85" i="1"/>
  <c r="F85" i="1"/>
  <c r="U84" i="1"/>
  <c r="T84" i="1"/>
  <c r="S84" i="1"/>
  <c r="R84" i="1"/>
  <c r="Q84" i="1"/>
  <c r="P84" i="1"/>
  <c r="O84" i="1"/>
  <c r="F84" i="1"/>
  <c r="U83" i="1"/>
  <c r="T83" i="1"/>
  <c r="S83" i="1"/>
  <c r="R83" i="1"/>
  <c r="Q83" i="1"/>
  <c r="P83" i="1"/>
  <c r="O83" i="1"/>
  <c r="F83" i="1"/>
  <c r="U82" i="1"/>
  <c r="T82" i="1"/>
  <c r="S82" i="1"/>
  <c r="R82" i="1"/>
  <c r="Q82" i="1"/>
  <c r="P82" i="1"/>
  <c r="O82" i="1"/>
  <c r="F82" i="1"/>
  <c r="U81" i="1"/>
  <c r="T81" i="1"/>
  <c r="S81" i="1"/>
  <c r="R81" i="1"/>
  <c r="Q81" i="1"/>
  <c r="P81" i="1"/>
  <c r="O81" i="1"/>
  <c r="F81" i="1"/>
  <c r="U80" i="1"/>
  <c r="T80" i="1"/>
  <c r="S80" i="1"/>
  <c r="R80" i="1"/>
  <c r="Q80" i="1"/>
  <c r="P80" i="1"/>
  <c r="O80" i="1"/>
  <c r="F80" i="1"/>
  <c r="U79" i="1"/>
  <c r="T79" i="1"/>
  <c r="S79" i="1"/>
  <c r="R79" i="1"/>
  <c r="Q79" i="1"/>
  <c r="P79" i="1"/>
  <c r="O79" i="1"/>
  <c r="F79" i="1"/>
  <c r="U78" i="1"/>
  <c r="T78" i="1"/>
  <c r="S78" i="1"/>
  <c r="R78" i="1"/>
  <c r="Q78" i="1"/>
  <c r="P78" i="1"/>
  <c r="O78" i="1"/>
  <c r="F78" i="1"/>
  <c r="U77" i="1"/>
  <c r="T77" i="1"/>
  <c r="S77" i="1"/>
  <c r="R77" i="1"/>
  <c r="Q77" i="1"/>
  <c r="P77" i="1"/>
  <c r="O77" i="1"/>
  <c r="F77" i="1"/>
  <c r="U76" i="1"/>
  <c r="T76" i="1"/>
  <c r="S76" i="1"/>
  <c r="R76" i="1"/>
  <c r="Q76" i="1"/>
  <c r="P76" i="1"/>
  <c r="O76" i="1"/>
  <c r="F76" i="1"/>
  <c r="U75" i="1"/>
  <c r="T75" i="1"/>
  <c r="S75" i="1"/>
  <c r="R75" i="1"/>
  <c r="Q75" i="1"/>
  <c r="P75" i="1"/>
  <c r="O75" i="1"/>
  <c r="F75" i="1"/>
  <c r="U74" i="1"/>
  <c r="T74" i="1"/>
  <c r="S74" i="1"/>
  <c r="R74" i="1"/>
  <c r="Q74" i="1"/>
  <c r="P74" i="1"/>
  <c r="O74" i="1"/>
  <c r="F74" i="1"/>
  <c r="U73" i="1"/>
  <c r="T73" i="1"/>
  <c r="S73" i="1"/>
  <c r="R73" i="1"/>
  <c r="Q73" i="1"/>
  <c r="P73" i="1"/>
  <c r="O73" i="1"/>
  <c r="F73" i="1"/>
  <c r="U72" i="1"/>
  <c r="T72" i="1"/>
  <c r="S72" i="1"/>
  <c r="R72" i="1"/>
  <c r="Q72" i="1"/>
  <c r="P72" i="1"/>
  <c r="O72" i="1"/>
  <c r="F72" i="1"/>
  <c r="U71" i="1"/>
  <c r="T71" i="1"/>
  <c r="S71" i="1"/>
  <c r="R71" i="1"/>
  <c r="Q71" i="1"/>
  <c r="P71" i="1"/>
  <c r="O71" i="1"/>
  <c r="F71" i="1"/>
  <c r="U70" i="1"/>
  <c r="T70" i="1"/>
  <c r="S70" i="1"/>
  <c r="R70" i="1"/>
  <c r="Q70" i="1"/>
  <c r="P70" i="1"/>
  <c r="O70" i="1"/>
  <c r="F70" i="1"/>
  <c r="U69" i="1"/>
  <c r="T69" i="1"/>
  <c r="S69" i="1"/>
  <c r="R69" i="1"/>
  <c r="Q69" i="1"/>
  <c r="P69" i="1"/>
  <c r="O69" i="1"/>
  <c r="F69" i="1"/>
  <c r="U68" i="1"/>
  <c r="T68" i="1"/>
  <c r="S68" i="1"/>
  <c r="R68" i="1"/>
  <c r="Q68" i="1"/>
  <c r="P68" i="1"/>
  <c r="O68" i="1"/>
  <c r="F68" i="1"/>
  <c r="U67" i="1"/>
  <c r="T67" i="1"/>
  <c r="S67" i="1"/>
  <c r="R67" i="1"/>
  <c r="Q67" i="1"/>
  <c r="P67" i="1"/>
  <c r="O67" i="1"/>
  <c r="F67" i="1"/>
  <c r="U66" i="1"/>
  <c r="T66" i="1"/>
  <c r="S66" i="1"/>
  <c r="R66" i="1"/>
  <c r="Q66" i="1"/>
  <c r="P66" i="1"/>
  <c r="O66" i="1"/>
  <c r="F66" i="1"/>
  <c r="U65" i="1"/>
  <c r="T65" i="1"/>
  <c r="S65" i="1"/>
  <c r="R65" i="1"/>
  <c r="Q65" i="1"/>
  <c r="P65" i="1"/>
  <c r="O65" i="1"/>
  <c r="F65" i="1"/>
  <c r="U64" i="1"/>
  <c r="T64" i="1"/>
  <c r="S64" i="1"/>
  <c r="R64" i="1"/>
  <c r="Q64" i="1"/>
  <c r="P64" i="1"/>
  <c r="O64" i="1"/>
  <c r="F64" i="1"/>
  <c r="F63" i="1"/>
  <c r="F62" i="1"/>
  <c r="F61" i="1"/>
  <c r="F60" i="1"/>
  <c r="F59" i="1"/>
  <c r="F58" i="1"/>
  <c r="F57" i="1"/>
  <c r="F56" i="1"/>
  <c r="F55" i="1"/>
  <c r="F54" i="1"/>
  <c r="F53" i="1"/>
  <c r="F7" i="2"/>
  <c r="F8" i="2"/>
  <c r="F9" i="2"/>
  <c r="F10" i="2"/>
  <c r="F11" i="2"/>
  <c r="F12" i="2"/>
  <c r="F6" i="2"/>
  <c r="B20" i="3"/>
  <c r="B21" i="3"/>
  <c r="B22" i="3"/>
  <c r="B23" i="3"/>
  <c r="B24" i="3"/>
  <c r="B25" i="3"/>
  <c r="B26" i="3"/>
  <c r="B19" i="3"/>
  <c r="B34" i="12"/>
  <c r="C34" i="12"/>
  <c r="B35" i="12"/>
  <c r="D35" i="12"/>
  <c r="B36" i="12"/>
  <c r="E36" i="12"/>
  <c r="B25" i="12"/>
  <c r="I25" i="12"/>
  <c r="F36" i="12"/>
  <c r="E35" i="12"/>
  <c r="D34" i="12"/>
  <c r="D36" i="12"/>
  <c r="C35" i="12"/>
  <c r="I35" i="12"/>
  <c r="H34" i="12"/>
  <c r="I36" i="12"/>
  <c r="H35" i="12"/>
  <c r="G34" i="12"/>
  <c r="H36" i="12"/>
  <c r="G35" i="12"/>
  <c r="F34" i="12"/>
  <c r="C36" i="12"/>
  <c r="I34" i="12"/>
  <c r="G36" i="12"/>
  <c r="F35" i="12"/>
  <c r="E34" i="12"/>
  <c r="C25" i="12"/>
  <c r="E25" i="12"/>
  <c r="F25" i="12"/>
  <c r="D25" i="12"/>
  <c r="H25" i="12"/>
  <c r="G25" i="12"/>
  <c r="B53" i="12"/>
  <c r="B54" i="12"/>
  <c r="B55" i="12"/>
  <c r="B12" i="12"/>
  <c r="G12" i="12"/>
  <c r="B13" i="12"/>
  <c r="B14" i="12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D12" i="12"/>
  <c r="H12" i="12"/>
  <c r="E12" i="12"/>
  <c r="I12" i="12"/>
  <c r="F12" i="12"/>
  <c r="C12" i="12"/>
  <c r="D6" i="3"/>
  <c r="D7" i="3"/>
  <c r="D8" i="3"/>
  <c r="D9" i="3"/>
  <c r="D10" i="3"/>
  <c r="D11" i="3"/>
  <c r="D5" i="3"/>
  <c r="O95" i="1"/>
  <c r="P95" i="1"/>
  <c r="Q95" i="1"/>
  <c r="R95" i="1"/>
  <c r="S95" i="1"/>
  <c r="T95" i="1"/>
  <c r="U95" i="1"/>
  <c r="C53" i="12"/>
  <c r="D53" i="12"/>
  <c r="E53" i="12"/>
  <c r="F53" i="12"/>
  <c r="G53" i="12"/>
  <c r="H53" i="12"/>
  <c r="I53" i="12"/>
  <c r="A8" i="2"/>
  <c r="A12" i="2"/>
  <c r="A11" i="2"/>
  <c r="A10" i="2"/>
  <c r="A9" i="2"/>
  <c r="A7" i="2"/>
  <c r="G54" i="12"/>
  <c r="C54" i="12"/>
  <c r="F54" i="12"/>
  <c r="I54" i="12"/>
  <c r="E54" i="12"/>
  <c r="H54" i="12"/>
  <c r="D54" i="12"/>
  <c r="B40" i="12"/>
  <c r="F40" i="12"/>
  <c r="B41" i="12"/>
  <c r="B42" i="12"/>
  <c r="G40" i="12"/>
  <c r="C40" i="12"/>
  <c r="D40" i="12"/>
  <c r="H40" i="12"/>
  <c r="E40" i="12"/>
  <c r="I40" i="12"/>
  <c r="H10" i="5"/>
  <c r="H11" i="5"/>
  <c r="H12" i="5"/>
  <c r="D6" i="13"/>
  <c r="D7" i="13"/>
  <c r="D8" i="13"/>
  <c r="D9" i="13"/>
  <c r="D10" i="13"/>
  <c r="D11" i="13"/>
  <c r="D12" i="13"/>
  <c r="D13" i="13"/>
  <c r="D14" i="13"/>
  <c r="D15" i="13"/>
  <c r="D16" i="13"/>
  <c r="D5" i="13"/>
  <c r="K11" i="5"/>
  <c r="K12" i="5"/>
  <c r="U4" i="3"/>
  <c r="U18" i="3"/>
  <c r="T4" i="3"/>
  <c r="T18" i="3"/>
  <c r="S4" i="3"/>
  <c r="S18" i="3"/>
  <c r="R4" i="3"/>
  <c r="R18" i="3"/>
  <c r="Q4" i="3"/>
  <c r="Q18" i="3"/>
  <c r="P4" i="3"/>
  <c r="P18" i="3"/>
  <c r="O4" i="3"/>
  <c r="O18" i="3"/>
  <c r="N4" i="3"/>
  <c r="N18" i="3"/>
  <c r="M4" i="3"/>
  <c r="M18" i="3"/>
  <c r="L4" i="3"/>
  <c r="L18" i="3"/>
  <c r="K4" i="3"/>
  <c r="K18" i="3"/>
  <c r="J4" i="3"/>
  <c r="J18" i="3"/>
  <c r="I4" i="3"/>
  <c r="I18" i="3"/>
  <c r="H4" i="3"/>
  <c r="H18" i="3"/>
  <c r="G4" i="3"/>
  <c r="G18" i="3"/>
  <c r="F4" i="3"/>
  <c r="F18" i="3"/>
  <c r="G25" i="14"/>
  <c r="G26" i="14"/>
  <c r="G27" i="14"/>
  <c r="G28" i="14"/>
  <c r="G29" i="14"/>
  <c r="G30" i="14"/>
  <c r="D33" i="14"/>
  <c r="G22" i="14"/>
  <c r="G23" i="14"/>
  <c r="G24" i="14"/>
  <c r="G31" i="14"/>
  <c r="G32" i="14"/>
  <c r="G21" i="14"/>
  <c r="E16" i="14"/>
  <c r="H16" i="14"/>
  <c r="E15" i="14"/>
  <c r="H15" i="14"/>
  <c r="E14" i="14"/>
  <c r="H14" i="14"/>
  <c r="E13" i="14"/>
  <c r="H13" i="14"/>
  <c r="E12" i="14"/>
  <c r="H12" i="14"/>
  <c r="E11" i="14"/>
  <c r="H11" i="14"/>
  <c r="E10" i="14"/>
  <c r="H10" i="14"/>
  <c r="E9" i="14"/>
  <c r="H9" i="14"/>
  <c r="E8" i="14"/>
  <c r="H8" i="14"/>
  <c r="E7" i="14"/>
  <c r="H7" i="14"/>
  <c r="E6" i="14"/>
  <c r="H6" i="14"/>
  <c r="E5" i="14"/>
  <c r="H5" i="14"/>
  <c r="E21" i="14"/>
  <c r="E23" i="14"/>
  <c r="E24" i="14"/>
  <c r="E25" i="14"/>
  <c r="H25" i="14"/>
  <c r="E26" i="14"/>
  <c r="E27" i="14"/>
  <c r="E28" i="14"/>
  <c r="E29" i="14"/>
  <c r="H29" i="14"/>
  <c r="E30" i="14"/>
  <c r="E31" i="14"/>
  <c r="E32" i="14"/>
  <c r="E22" i="14"/>
  <c r="G17" i="14"/>
  <c r="D25" i="6"/>
  <c r="H28" i="14"/>
  <c r="H23" i="14"/>
  <c r="H32" i="14"/>
  <c r="H31" i="14"/>
  <c r="H30" i="14"/>
  <c r="H26" i="14"/>
  <c r="H24" i="14"/>
  <c r="H22" i="14"/>
  <c r="H27" i="14"/>
  <c r="H21" i="14"/>
  <c r="G33" i="14"/>
  <c r="F33" i="14"/>
  <c r="E33" i="14"/>
  <c r="E17" i="14"/>
  <c r="H17" i="14"/>
  <c r="D24" i="6"/>
  <c r="H33" i="14"/>
  <c r="C33" i="14"/>
  <c r="E17" i="13"/>
  <c r="D17" i="6" s="1"/>
  <c r="H96" i="1"/>
  <c r="I6" i="2" s="1"/>
  <c r="I96" i="1"/>
  <c r="I7" i="2" s="1"/>
  <c r="C6" i="3" s="1"/>
  <c r="E6" i="3" s="1"/>
  <c r="J96" i="1"/>
  <c r="I8" i="2" s="1"/>
  <c r="K96" i="1"/>
  <c r="I9" i="2" s="1"/>
  <c r="J9" i="2" s="1"/>
  <c r="L96" i="1"/>
  <c r="I10" i="2" s="1"/>
  <c r="M96" i="1"/>
  <c r="I11" i="2" s="1"/>
  <c r="C10" i="3" s="1"/>
  <c r="E10" i="3" s="1"/>
  <c r="F30" i="1"/>
  <c r="B32" i="12"/>
  <c r="D32" i="12"/>
  <c r="B33" i="12"/>
  <c r="F33" i="12"/>
  <c r="B37" i="12"/>
  <c r="C37" i="12"/>
  <c r="B38" i="12"/>
  <c r="D38" i="12"/>
  <c r="B39" i="12"/>
  <c r="E39" i="12"/>
  <c r="C41" i="12"/>
  <c r="B26" i="12"/>
  <c r="F26" i="12"/>
  <c r="B27" i="12"/>
  <c r="C27" i="12"/>
  <c r="B28" i="12"/>
  <c r="C28" i="12"/>
  <c r="B29" i="12"/>
  <c r="D29" i="12"/>
  <c r="B30" i="12"/>
  <c r="D30" i="12"/>
  <c r="B31" i="12"/>
  <c r="F31" i="12"/>
  <c r="B24" i="12"/>
  <c r="G24" i="12"/>
  <c r="B7" i="12"/>
  <c r="H7" i="12"/>
  <c r="I31" i="12"/>
  <c r="C29" i="12"/>
  <c r="G38" i="12"/>
  <c r="E31" i="12"/>
  <c r="I26" i="12"/>
  <c r="C38" i="12"/>
  <c r="F30" i="12"/>
  <c r="E26" i="12"/>
  <c r="F37" i="12"/>
  <c r="G29" i="12"/>
  <c r="F38" i="12"/>
  <c r="I37" i="12"/>
  <c r="E37" i="12"/>
  <c r="H31" i="12"/>
  <c r="D31" i="12"/>
  <c r="C30" i="12"/>
  <c r="F29" i="12"/>
  <c r="I28" i="12"/>
  <c r="E28" i="12"/>
  <c r="H26" i="12"/>
  <c r="D26" i="12"/>
  <c r="F28" i="12"/>
  <c r="I38" i="12"/>
  <c r="E38" i="12"/>
  <c r="H37" i="12"/>
  <c r="D37" i="12"/>
  <c r="G31" i="12"/>
  <c r="C31" i="12"/>
  <c r="I29" i="12"/>
  <c r="E29" i="12"/>
  <c r="H28" i="12"/>
  <c r="D28" i="12"/>
  <c r="G26" i="12"/>
  <c r="C26" i="12"/>
  <c r="H38" i="12"/>
  <c r="G37" i="12"/>
  <c r="G30" i="12"/>
  <c r="H29" i="12"/>
  <c r="G28" i="12"/>
  <c r="H39" i="12"/>
  <c r="G39" i="12"/>
  <c r="C39" i="12"/>
  <c r="F39" i="12"/>
  <c r="D39" i="12"/>
  <c r="I39" i="12"/>
  <c r="I30" i="12"/>
  <c r="E30" i="12"/>
  <c r="H30" i="12"/>
  <c r="I27" i="12"/>
  <c r="E27" i="12"/>
  <c r="F27" i="12"/>
  <c r="H27" i="12"/>
  <c r="D27" i="12"/>
  <c r="G27" i="12"/>
  <c r="F41" i="12"/>
  <c r="I41" i="12"/>
  <c r="E41" i="12"/>
  <c r="H41" i="12"/>
  <c r="D41" i="12"/>
  <c r="G41" i="12"/>
  <c r="G32" i="12"/>
  <c r="F32" i="12"/>
  <c r="I32" i="12"/>
  <c r="E32" i="12"/>
  <c r="C32" i="12"/>
  <c r="H32" i="12"/>
  <c r="G33" i="12"/>
  <c r="C33" i="12"/>
  <c r="I33" i="12"/>
  <c r="E33" i="12"/>
  <c r="H33" i="12"/>
  <c r="D33" i="12"/>
  <c r="E7" i="12"/>
  <c r="D24" i="12"/>
  <c r="F24" i="12"/>
  <c r="H24" i="12"/>
  <c r="I24" i="12"/>
  <c r="C24" i="12"/>
  <c r="E24" i="12"/>
  <c r="C7" i="12"/>
  <c r="F7" i="12"/>
  <c r="D7" i="12"/>
  <c r="I7" i="12"/>
  <c r="B49" i="12"/>
  <c r="B50" i="12"/>
  <c r="B51" i="12"/>
  <c r="B52" i="12"/>
  <c r="B48" i="12"/>
  <c r="B8" i="12"/>
  <c r="B9" i="12"/>
  <c r="B10" i="12"/>
  <c r="B11" i="12"/>
  <c r="F28" i="1"/>
  <c r="F34" i="1"/>
  <c r="F13" i="12"/>
  <c r="D11" i="12"/>
  <c r="F10" i="12"/>
  <c r="F8" i="12"/>
  <c r="D14" i="12"/>
  <c r="D9" i="12"/>
  <c r="E13" i="12"/>
  <c r="H10" i="12"/>
  <c r="I8" i="12"/>
  <c r="C10" i="12"/>
  <c r="G7" i="12"/>
  <c r="G11" i="12"/>
  <c r="G10" i="12"/>
  <c r="E8" i="12"/>
  <c r="F11" i="12"/>
  <c r="E10" i="12"/>
  <c r="C11" i="12"/>
  <c r="I13" i="12"/>
  <c r="I10" i="12"/>
  <c r="D10" i="12"/>
  <c r="G14" i="12"/>
  <c r="G9" i="12"/>
  <c r="H13" i="12"/>
  <c r="F9" i="12"/>
  <c r="H8" i="12"/>
  <c r="D8" i="12"/>
  <c r="I14" i="12"/>
  <c r="E14" i="12"/>
  <c r="G13" i="12"/>
  <c r="I11" i="12"/>
  <c r="E11" i="12"/>
  <c r="F14" i="12"/>
  <c r="D13" i="12"/>
  <c r="C14" i="12"/>
  <c r="C9" i="12"/>
  <c r="E9" i="12"/>
  <c r="G8" i="12"/>
  <c r="C13" i="12"/>
  <c r="C8" i="12"/>
  <c r="H14" i="12"/>
  <c r="H11" i="12"/>
  <c r="H9" i="12"/>
  <c r="U4" i="1"/>
  <c r="T4" i="1"/>
  <c r="S4" i="1"/>
  <c r="R4" i="1"/>
  <c r="Q4" i="1"/>
  <c r="P4" i="1"/>
  <c r="O4" i="1"/>
  <c r="H4" i="1"/>
  <c r="C6" i="12" s="1"/>
  <c r="J10" i="5"/>
  <c r="K10" i="5"/>
  <c r="J11" i="5"/>
  <c r="J12" i="5"/>
  <c r="I10" i="5"/>
  <c r="I11" i="5"/>
  <c r="I12" i="5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B6" i="3"/>
  <c r="B7" i="3"/>
  <c r="B8" i="3"/>
  <c r="B9" i="3"/>
  <c r="B10" i="3"/>
  <c r="B11" i="3"/>
  <c r="B5" i="3"/>
  <c r="F7" i="1"/>
  <c r="F95" i="1"/>
  <c r="F5" i="1"/>
  <c r="C16" i="4"/>
  <c r="H10" i="4"/>
  <c r="N96" i="1"/>
  <c r="I12" i="2" s="1"/>
  <c r="M12" i="2" s="1"/>
  <c r="I9" i="12"/>
  <c r="N4" i="1"/>
  <c r="I23" i="12" s="1"/>
  <c r="M4" i="1"/>
  <c r="H47" i="12" s="1"/>
  <c r="L4" i="1"/>
  <c r="G23" i="12" s="1"/>
  <c r="K4" i="1"/>
  <c r="F23" i="12" s="1"/>
  <c r="J4" i="1"/>
  <c r="E47" i="12" s="1"/>
  <c r="I4" i="1"/>
  <c r="D6" i="12" s="1"/>
  <c r="N3" i="1"/>
  <c r="M3" i="1"/>
  <c r="L3" i="1"/>
  <c r="K3" i="1"/>
  <c r="J3" i="1"/>
  <c r="I3" i="1"/>
  <c r="H3" i="1"/>
  <c r="E11" i="4"/>
  <c r="E8" i="4"/>
  <c r="E9" i="4"/>
  <c r="H42" i="12"/>
  <c r="E42" i="12"/>
  <c r="I42" i="12"/>
  <c r="D42" i="12"/>
  <c r="H9" i="2"/>
  <c r="F42" i="12"/>
  <c r="C42" i="12"/>
  <c r="G42" i="12"/>
  <c r="E13" i="4"/>
  <c r="E14" i="4"/>
  <c r="D27" i="6"/>
  <c r="D58" i="6"/>
  <c r="H12" i="2"/>
  <c r="H10" i="2"/>
  <c r="H11" i="2"/>
  <c r="D63" i="6"/>
  <c r="H7" i="2"/>
  <c r="D39" i="6"/>
  <c r="D53" i="6"/>
  <c r="D47" i="6"/>
  <c r="D26" i="6"/>
  <c r="D59" i="6"/>
  <c r="D62" i="6"/>
  <c r="D61" i="6"/>
  <c r="D51" i="6"/>
  <c r="D48" i="6"/>
  <c r="D45" i="6"/>
  <c r="D44" i="6"/>
  <c r="D43" i="6"/>
  <c r="D42" i="6"/>
  <c r="D40" i="6"/>
  <c r="H6" i="2"/>
  <c r="H8" i="2"/>
  <c r="D50" i="6"/>
  <c r="D68" i="6"/>
  <c r="L13" i="3"/>
  <c r="A6" i="2"/>
  <c r="D56" i="6"/>
  <c r="D67" i="6"/>
  <c r="D57" i="6"/>
  <c r="D66" i="6"/>
  <c r="D64" i="6"/>
  <c r="C17" i="15" s="1"/>
  <c r="D54" i="6"/>
  <c r="H13" i="3"/>
  <c r="R13" i="3"/>
  <c r="Q13" i="3"/>
  <c r="N13" i="3"/>
  <c r="J13" i="3"/>
  <c r="K13" i="3"/>
  <c r="I5" i="5"/>
  <c r="I6" i="5"/>
  <c r="I7" i="5"/>
  <c r="I8" i="5"/>
  <c r="I9" i="5"/>
  <c r="H6" i="5"/>
  <c r="J6" i="5"/>
  <c r="K6" i="5"/>
  <c r="H7" i="5"/>
  <c r="J7" i="5"/>
  <c r="K7" i="5"/>
  <c r="H8" i="5"/>
  <c r="J8" i="5"/>
  <c r="K8" i="5"/>
  <c r="H5" i="5"/>
  <c r="J5" i="5"/>
  <c r="K5" i="5"/>
  <c r="H9" i="5"/>
  <c r="J9" i="5"/>
  <c r="K9" i="5"/>
  <c r="O13" i="3" l="1"/>
  <c r="G11" i="1"/>
  <c r="G29" i="1"/>
  <c r="G10" i="1"/>
  <c r="E52" i="12"/>
  <c r="G50" i="1"/>
  <c r="D17" i="13"/>
  <c r="D16" i="6" s="1"/>
  <c r="G47" i="1"/>
  <c r="G51" i="1"/>
  <c r="G48" i="1"/>
  <c r="G35" i="1"/>
  <c r="G55" i="12"/>
  <c r="G49" i="1"/>
  <c r="G31" i="1"/>
  <c r="G36" i="1"/>
  <c r="G52" i="1"/>
  <c r="G44" i="1"/>
  <c r="H6" i="12"/>
  <c r="G39" i="1"/>
  <c r="F55" i="12"/>
  <c r="F52" i="12"/>
  <c r="E50" i="12"/>
  <c r="D23" i="12"/>
  <c r="G38" i="1"/>
  <c r="G45" i="1"/>
  <c r="E7" i="4"/>
  <c r="I52" i="12"/>
  <c r="I51" i="12"/>
  <c r="E23" i="12"/>
  <c r="H55" i="12"/>
  <c r="G50" i="12"/>
  <c r="H49" i="12"/>
  <c r="G40" i="1"/>
  <c r="E48" i="12"/>
  <c r="G48" i="12"/>
  <c r="E6" i="4"/>
  <c r="I55" i="12"/>
  <c r="H51" i="12"/>
  <c r="G51" i="12"/>
  <c r="I50" i="12"/>
  <c r="H50" i="12"/>
  <c r="G49" i="12"/>
  <c r="C49" i="12"/>
  <c r="G33" i="1"/>
  <c r="D47" i="12"/>
  <c r="C48" i="12"/>
  <c r="L12" i="2"/>
  <c r="H23" i="12"/>
  <c r="E10" i="4"/>
  <c r="D10" i="4" s="1"/>
  <c r="D9" i="4" s="1"/>
  <c r="D52" i="12"/>
  <c r="C52" i="12"/>
  <c r="E49" i="12"/>
  <c r="G69" i="1"/>
  <c r="D49" i="12"/>
  <c r="D50" i="12"/>
  <c r="M13" i="3"/>
  <c r="I13" i="3"/>
  <c r="S13" i="3"/>
  <c r="G30" i="1"/>
  <c r="G9" i="1"/>
  <c r="G88" i="1"/>
  <c r="F13" i="3"/>
  <c r="F14" i="3" s="1"/>
  <c r="U13" i="3"/>
  <c r="P13" i="3"/>
  <c r="G13" i="3"/>
  <c r="G54" i="1"/>
  <c r="G12" i="1"/>
  <c r="D55" i="12"/>
  <c r="T13" i="3"/>
  <c r="G77" i="1"/>
  <c r="G94" i="1"/>
  <c r="G85" i="1"/>
  <c r="G53" i="1"/>
  <c r="E55" i="12"/>
  <c r="G61" i="1"/>
  <c r="G6" i="1"/>
  <c r="G7" i="1"/>
  <c r="G13" i="1"/>
  <c r="F49" i="12"/>
  <c r="F50" i="12"/>
  <c r="G22" i="1"/>
  <c r="E12" i="4"/>
  <c r="G28" i="1"/>
  <c r="G32" i="1"/>
  <c r="G37" i="1"/>
  <c r="D20" i="6"/>
  <c r="M11" i="2"/>
  <c r="L11" i="2"/>
  <c r="C18" i="15"/>
  <c r="K12" i="2"/>
  <c r="K11" i="2"/>
  <c r="C11" i="3"/>
  <c r="E11" i="3" s="1"/>
  <c r="K41" i="12"/>
  <c r="K39" i="12"/>
  <c r="K28" i="12"/>
  <c r="L10" i="2"/>
  <c r="F96" i="1"/>
  <c r="K35" i="12"/>
  <c r="K13" i="12"/>
  <c r="C25" i="3" s="1"/>
  <c r="E25" i="3" s="1"/>
  <c r="K30" i="12"/>
  <c r="G16" i="12"/>
  <c r="H16" i="12"/>
  <c r="H44" i="12"/>
  <c r="R96" i="1"/>
  <c r="K37" i="12"/>
  <c r="D41" i="6"/>
  <c r="K25" i="12"/>
  <c r="L9" i="2"/>
  <c r="P9" i="2" s="1"/>
  <c r="D65" i="6"/>
  <c r="D69" i="6" s="1"/>
  <c r="K9" i="2"/>
  <c r="O9" i="2" s="1"/>
  <c r="C8" i="3"/>
  <c r="E8" i="3" s="1"/>
  <c r="D55" i="6"/>
  <c r="K14" i="12"/>
  <c r="C26" i="3" s="1"/>
  <c r="E26" i="3" s="1"/>
  <c r="K8" i="12"/>
  <c r="C20" i="3" s="1"/>
  <c r="E20" i="3" s="1"/>
  <c r="K11" i="12"/>
  <c r="C23" i="3" s="1"/>
  <c r="E23" i="3" s="1"/>
  <c r="K8" i="2"/>
  <c r="C7" i="3"/>
  <c r="E7" i="3" s="1"/>
  <c r="D60" i="6"/>
  <c r="J11" i="2"/>
  <c r="N11" i="2" s="1"/>
  <c r="D16" i="12"/>
  <c r="U96" i="1"/>
  <c r="T96" i="1"/>
  <c r="G46" i="1"/>
  <c r="G62" i="1"/>
  <c r="G21" i="1"/>
  <c r="F3" i="1"/>
  <c r="J1" i="1" s="1"/>
  <c r="K7" i="12"/>
  <c r="C19" i="3" s="1"/>
  <c r="K54" i="12"/>
  <c r="G95" i="1"/>
  <c r="D51" i="12"/>
  <c r="I48" i="12"/>
  <c r="K36" i="12"/>
  <c r="G58" i="1"/>
  <c r="G59" i="1"/>
  <c r="G20" i="1"/>
  <c r="C50" i="12"/>
  <c r="J12" i="2"/>
  <c r="O12" i="2" s="1"/>
  <c r="I6" i="12"/>
  <c r="K42" i="12"/>
  <c r="G5" i="1"/>
  <c r="P96" i="1"/>
  <c r="G34" i="1"/>
  <c r="F48" i="12"/>
  <c r="G55" i="1"/>
  <c r="G57" i="1"/>
  <c r="G65" i="1"/>
  <c r="G66" i="1"/>
  <c r="G67" i="1"/>
  <c r="G68" i="1"/>
  <c r="G78" i="1"/>
  <c r="G18" i="1"/>
  <c r="F16" i="12"/>
  <c r="E51" i="12"/>
  <c r="G43" i="1"/>
  <c r="G56" i="1"/>
  <c r="G60" i="1"/>
  <c r="G70" i="1"/>
  <c r="F51" i="12"/>
  <c r="D49" i="6"/>
  <c r="I47" i="12"/>
  <c r="E16" i="12"/>
  <c r="E44" i="12"/>
  <c r="K31" i="12"/>
  <c r="D44" i="12"/>
  <c r="K34" i="12"/>
  <c r="G64" i="1"/>
  <c r="G74" i="1"/>
  <c r="G75" i="1"/>
  <c r="G76" i="1"/>
  <c r="G86" i="1"/>
  <c r="G17" i="1"/>
  <c r="O96" i="1"/>
  <c r="G42" i="1"/>
  <c r="C51" i="12"/>
  <c r="K24" i="12"/>
  <c r="K33" i="12"/>
  <c r="K32" i="12"/>
  <c r="K29" i="12"/>
  <c r="F44" i="12"/>
  <c r="K38" i="12"/>
  <c r="G44" i="12"/>
  <c r="K40" i="12"/>
  <c r="G63" i="1"/>
  <c r="G73" i="1"/>
  <c r="G79" i="1"/>
  <c r="G82" i="1"/>
  <c r="G83" i="1"/>
  <c r="G84" i="1"/>
  <c r="I49" i="12"/>
  <c r="G16" i="1"/>
  <c r="I16" i="12"/>
  <c r="I44" i="12"/>
  <c r="K27" i="12"/>
  <c r="K26" i="12"/>
  <c r="K12" i="12"/>
  <c r="C24" i="3" s="1"/>
  <c r="E24" i="3" s="1"/>
  <c r="G72" i="1"/>
  <c r="G81" i="1"/>
  <c r="G87" i="1"/>
  <c r="G90" i="1"/>
  <c r="G91" i="1"/>
  <c r="G92" i="1"/>
  <c r="G93" i="1"/>
  <c r="G15" i="1"/>
  <c r="C23" i="12"/>
  <c r="C47" i="12"/>
  <c r="K9" i="12"/>
  <c r="C21" i="3" s="1"/>
  <c r="E21" i="3" s="1"/>
  <c r="K10" i="12"/>
  <c r="C22" i="3" s="1"/>
  <c r="E22" i="3" s="1"/>
  <c r="K53" i="12"/>
  <c r="H52" i="12"/>
  <c r="G71" i="1"/>
  <c r="G80" i="1"/>
  <c r="G89" i="1"/>
  <c r="G14" i="1"/>
  <c r="G23" i="1"/>
  <c r="G24" i="1"/>
  <c r="G25" i="1"/>
  <c r="G26" i="1"/>
  <c r="G27" i="1"/>
  <c r="C5" i="3"/>
  <c r="E5" i="3" s="1"/>
  <c r="D33" i="6"/>
  <c r="J6" i="2"/>
  <c r="K6" i="2"/>
  <c r="L6" i="2"/>
  <c r="I13" i="2"/>
  <c r="M10" i="2" s="1"/>
  <c r="H48" i="12"/>
  <c r="L8" i="2"/>
  <c r="C9" i="3"/>
  <c r="E9" i="3" s="1"/>
  <c r="G6" i="12"/>
  <c r="D48" i="12"/>
  <c r="C55" i="12"/>
  <c r="L7" i="2"/>
  <c r="C44" i="12"/>
  <c r="J8" i="2"/>
  <c r="J10" i="2"/>
  <c r="K10" i="2"/>
  <c r="F47" i="12"/>
  <c r="G47" i="12"/>
  <c r="G41" i="1"/>
  <c r="F6" i="12"/>
  <c r="E5" i="4"/>
  <c r="C16" i="12"/>
  <c r="Q96" i="1"/>
  <c r="E6" i="12"/>
  <c r="S96" i="1"/>
  <c r="G8" i="1"/>
  <c r="K7" i="2"/>
  <c r="J7" i="2"/>
  <c r="E57" i="12" l="1"/>
  <c r="E18" i="12" s="1"/>
  <c r="K52" i="12"/>
  <c r="M11" i="12" s="1"/>
  <c r="G57" i="12"/>
  <c r="G18" i="12" s="1"/>
  <c r="N12" i="2"/>
  <c r="F7" i="4"/>
  <c r="H7" i="4" s="1"/>
  <c r="F6" i="4"/>
  <c r="H6" i="4" s="1"/>
  <c r="F8" i="4"/>
  <c r="H8" i="4" s="1"/>
  <c r="F12" i="4"/>
  <c r="H12" i="4" s="1"/>
  <c r="F14" i="4"/>
  <c r="H14" i="4" s="1"/>
  <c r="F11" i="4"/>
  <c r="H11" i="4" s="1"/>
  <c r="F13" i="4"/>
  <c r="H13" i="4" s="1"/>
  <c r="F9" i="4"/>
  <c r="H9" i="4" s="1"/>
  <c r="K55" i="12"/>
  <c r="M14" i="12" s="1"/>
  <c r="G14" i="3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D21" i="6"/>
  <c r="K49" i="12"/>
  <c r="M8" i="12" s="1"/>
  <c r="D7" i="6"/>
  <c r="D18" i="6" s="1"/>
  <c r="K50" i="12"/>
  <c r="M9" i="12" s="1"/>
  <c r="D8" i="4"/>
  <c r="D11" i="4"/>
  <c r="D5" i="4"/>
  <c r="D12" i="4"/>
  <c r="M13" i="12"/>
  <c r="K51" i="12"/>
  <c r="M10" i="12" s="1"/>
  <c r="D14" i="4"/>
  <c r="D57" i="12"/>
  <c r="D18" i="12" s="1"/>
  <c r="D13" i="4"/>
  <c r="D6" i="4"/>
  <c r="F57" i="12"/>
  <c r="F18" i="12" s="1"/>
  <c r="H1" i="1"/>
  <c r="K16" i="12"/>
  <c r="K44" i="12"/>
  <c r="D7" i="4"/>
  <c r="P11" i="2"/>
  <c r="O11" i="2"/>
  <c r="G3" i="1"/>
  <c r="P12" i="2"/>
  <c r="H57" i="12"/>
  <c r="H18" i="12" s="1"/>
  <c r="I57" i="12"/>
  <c r="I18" i="12" s="1"/>
  <c r="L13" i="2"/>
  <c r="K13" i="2"/>
  <c r="D9" i="6" s="1"/>
  <c r="P7" i="2"/>
  <c r="O7" i="2"/>
  <c r="D37" i="6"/>
  <c r="J13" i="2"/>
  <c r="N8" i="2" s="1"/>
  <c r="O6" i="2"/>
  <c r="D34" i="6"/>
  <c r="D35" i="6" s="1"/>
  <c r="P6" i="2"/>
  <c r="D36" i="6"/>
  <c r="F5" i="4"/>
  <c r="E16" i="4"/>
  <c r="K48" i="12"/>
  <c r="P8" i="2"/>
  <c r="O8" i="2"/>
  <c r="E19" i="3"/>
  <c r="E27" i="3" s="1"/>
  <c r="C27" i="3"/>
  <c r="C57" i="12"/>
  <c r="C18" i="12" s="1"/>
  <c r="M8" i="2"/>
  <c r="M9" i="2"/>
  <c r="C12" i="3"/>
  <c r="E12" i="3" s="1"/>
  <c r="P10" i="2"/>
  <c r="O10" i="2"/>
  <c r="G96" i="1"/>
  <c r="M6" i="2"/>
  <c r="M7" i="2"/>
  <c r="N10" i="2" l="1"/>
  <c r="M12" i="12"/>
  <c r="D10" i="6"/>
  <c r="D16" i="4"/>
  <c r="K57" i="12"/>
  <c r="M7" i="12"/>
  <c r="N9" i="2"/>
  <c r="O13" i="2"/>
  <c r="P13" i="2"/>
  <c r="D8" i="6"/>
  <c r="H5" i="4"/>
  <c r="F16" i="4"/>
  <c r="N7" i="2"/>
  <c r="N6" i="2"/>
  <c r="F5" i="5" l="1"/>
  <c r="F6" i="5"/>
  <c r="F8" i="5"/>
  <c r="F11" i="5"/>
  <c r="D11" i="6"/>
  <c r="D4" i="6"/>
  <c r="C16" i="15" s="1"/>
  <c r="F12" i="5"/>
  <c r="D12" i="6"/>
  <c r="D13" i="6"/>
  <c r="D29" i="6"/>
  <c r="F7" i="5"/>
  <c r="F10" i="5"/>
  <c r="F9" i="5"/>
  <c r="D22" i="6"/>
  <c r="M16" i="12"/>
  <c r="K18" i="12"/>
  <c r="D30" i="6" l="1"/>
  <c r="F13" i="5"/>
</calcChain>
</file>

<file path=xl/sharedStrings.xml><?xml version="1.0" encoding="utf-8"?>
<sst xmlns="http://schemas.openxmlformats.org/spreadsheetml/2006/main" count="656" uniqueCount="358">
  <si>
    <t>Fiche projet</t>
  </si>
  <si>
    <t>Nom du client</t>
  </si>
  <si>
    <t>Auteur :</t>
  </si>
  <si>
    <t>Projet</t>
  </si>
  <si>
    <t>Date :</t>
  </si>
  <si>
    <t>Référence propale</t>
  </si>
  <si>
    <t>Contact client</t>
  </si>
  <si>
    <t>Agence</t>
  </si>
  <si>
    <t>Service line</t>
  </si>
  <si>
    <t>Directeur agence</t>
  </si>
  <si>
    <t>Responsable SL</t>
  </si>
  <si>
    <t>Commercial</t>
  </si>
  <si>
    <t>Type de contrat</t>
  </si>
  <si>
    <t>Période (jj/mm/aaaa au jj/mm/aaaa)</t>
  </si>
  <si>
    <t>Montant du contrat</t>
  </si>
  <si>
    <t xml:space="preserve">     dont CA back</t>
  </si>
  <si>
    <t>Montant du contrat back</t>
  </si>
  <si>
    <t>Synthèse</t>
  </si>
  <si>
    <t>Lot</t>
  </si>
  <si>
    <t>(Tous)</t>
  </si>
  <si>
    <t>Montant du projet (€)</t>
  </si>
  <si>
    <t>Phase</t>
  </si>
  <si>
    <t>Charge</t>
  </si>
  <si>
    <t>Valorisation</t>
  </si>
  <si>
    <t>Etapes</t>
  </si>
  <si>
    <t>CONCEPTION</t>
  </si>
  <si>
    <t>Analyse de l’existant</t>
  </si>
  <si>
    <t>CONSTRUCTION</t>
  </si>
  <si>
    <t>Conception fonctionnelle détaillée</t>
  </si>
  <si>
    <t>Nombre de jours produit (jh)</t>
  </si>
  <si>
    <t>VALIDATION</t>
  </si>
  <si>
    <t>Conception Générale</t>
  </si>
  <si>
    <t>Jours valorisés (€)</t>
  </si>
  <si>
    <t>FINALISATION</t>
  </si>
  <si>
    <t>Développement et tests unitaires</t>
  </si>
  <si>
    <t>Coût du projet pour Exakis Nelite (€)</t>
  </si>
  <si>
    <t>(vide)</t>
  </si>
  <si>
    <t>Formation</t>
  </si>
  <si>
    <t>CJM de production</t>
  </si>
  <si>
    <t>PROVISION</t>
  </si>
  <si>
    <t>Livraison / installation / Mise en œuvre</t>
  </si>
  <si>
    <t xml:space="preserve">Marge brute Agence (%) </t>
  </si>
  <si>
    <t>PILOTAGE</t>
  </si>
  <si>
    <t>Pilotage projet</t>
  </si>
  <si>
    <t>Marge brute Exakis Nelite (%)</t>
  </si>
  <si>
    <t>Total général</t>
  </si>
  <si>
    <t>Provision pour risque</t>
  </si>
  <si>
    <t>TJM Client (€)</t>
  </si>
  <si>
    <t>Support</t>
  </si>
  <si>
    <t>Tests d’intégration / Recette interne</t>
  </si>
  <si>
    <t>Frais de déplacement (€)</t>
  </si>
  <si>
    <t>Montant des frais à refacturer (€)</t>
  </si>
  <si>
    <t>Frais non refacturés / jour produit</t>
  </si>
  <si>
    <t>Provision pour Risque (JH)</t>
  </si>
  <si>
    <t>Provision pour Risque (€)</t>
  </si>
  <si>
    <t>Provision pour Risque (%)</t>
  </si>
  <si>
    <t>Montant des achats mat/log (€)</t>
  </si>
  <si>
    <t>Montant des achats à refacturer (€)</t>
  </si>
  <si>
    <t>Marge achats (€)</t>
  </si>
  <si>
    <t>Marge des Achats/Reventes (%)</t>
  </si>
  <si>
    <t>Marge Nette Exakis Nelite (€)</t>
  </si>
  <si>
    <t>Marge Nette Exakis Nelite (%)</t>
  </si>
  <si>
    <t>FO - Nombre de jours produit (jh)</t>
  </si>
  <si>
    <t>FO - Jours valorisés (€)</t>
  </si>
  <si>
    <t>FO - TJM Client (€)</t>
  </si>
  <si>
    <t>FO - CJM Production (€)</t>
  </si>
  <si>
    <t xml:space="preserve">FO - Marge Exakis Nelite (%) </t>
  </si>
  <si>
    <t>CESSION - Nombre de jours produit</t>
  </si>
  <si>
    <t>CESSION - Jours valorisés (€)</t>
  </si>
  <si>
    <t>CESSION - TJM Client (€)</t>
  </si>
  <si>
    <t>CESSION - CJM Production (€)</t>
  </si>
  <si>
    <t xml:space="preserve">CESSION - Marge Exakis Nelite (%) </t>
  </si>
  <si>
    <t>CESSION - Taux de Cession Interne</t>
  </si>
  <si>
    <t xml:space="preserve">CESSION - Marge AGENCE (%) </t>
  </si>
  <si>
    <t>ACHAT - Nombre de jours produit</t>
  </si>
  <si>
    <t>ACHAT - Jours valorisés (€)</t>
  </si>
  <si>
    <t>ACHAT - TJM Client (€)</t>
  </si>
  <si>
    <t>ACHAT - Coût d'achat Moyen / j (€)</t>
  </si>
  <si>
    <t xml:space="preserve">ACHAT - Marge AGENCE (%) </t>
  </si>
  <si>
    <t>BO - Nombre de jours produit (jh)</t>
  </si>
  <si>
    <t>BO - Jours valorisés (€)</t>
  </si>
  <si>
    <t>BO - TJM Client (€)</t>
  </si>
  <si>
    <t>BO - CJM Production (€)</t>
  </si>
  <si>
    <t xml:space="preserve">BO - Marge Exakis Nelite (%) </t>
  </si>
  <si>
    <t>ACHAT BO - Nombre de jours produit</t>
  </si>
  <si>
    <t>ACHAT BO - Jours valorisés (€)</t>
  </si>
  <si>
    <t>ACHAT BO - TJM Client (€)</t>
  </si>
  <si>
    <t>ACHAT BO - CJM Production (€)</t>
  </si>
  <si>
    <t xml:space="preserve">ACHAT BO - Marge Exakis Nelite (%) </t>
  </si>
  <si>
    <t>TOTAL BO - Nombre de jours produit</t>
  </si>
  <si>
    <t>TOTAL BO - Jours valorisés (€)</t>
  </si>
  <si>
    <t>TOTAL BO - TJM Client (€)</t>
  </si>
  <si>
    <t>TOTAL BO - CJM Production (€)</t>
  </si>
  <si>
    <t xml:space="preserve">TOTAL BO - Marge Exakis Nelite (%) </t>
  </si>
  <si>
    <t>PRCS Moyen du BACK</t>
  </si>
  <si>
    <t>Marge FRONT / BACK</t>
  </si>
  <si>
    <t>Profil</t>
  </si>
  <si>
    <t>TJM remisés</t>
  </si>
  <si>
    <t>PROFIL</t>
  </si>
  <si>
    <t>Entité</t>
  </si>
  <si>
    <t>TJM</t>
  </si>
  <si>
    <t>CJM</t>
  </si>
  <si>
    <t>PRCS</t>
  </si>
  <si>
    <t>Frais Déplacement (si Cession)</t>
  </si>
  <si>
    <t>TCI / PRCS</t>
  </si>
  <si>
    <t xml:space="preserve">Charge </t>
  </si>
  <si>
    <t>CA (€)</t>
  </si>
  <si>
    <t>COUT Exakis Nelite (€)</t>
  </si>
  <si>
    <t>COUT AGENCE (€)</t>
  </si>
  <si>
    <t>%jh PROFIL</t>
  </si>
  <si>
    <t>%€ PROFIL</t>
  </si>
  <si>
    <t>Marge /Profil Exakis Nelite</t>
  </si>
  <si>
    <t>Marge /Profil AGENCE</t>
  </si>
  <si>
    <t>Chef de Projet</t>
  </si>
  <si>
    <t>FO</t>
  </si>
  <si>
    <t>ETT</t>
  </si>
  <si>
    <t>Architecte</t>
  </si>
  <si>
    <t>???</t>
  </si>
  <si>
    <t>Consultant Technique</t>
  </si>
  <si>
    <t>??? / ADY (PlanB)</t>
  </si>
  <si>
    <t>Consultant Change</t>
  </si>
  <si>
    <t>ETN</t>
  </si>
  <si>
    <t>Consultant Data</t>
  </si>
  <si>
    <t>TOTAL</t>
  </si>
  <si>
    <t>CA initial</t>
  </si>
  <si>
    <t>Agences : TJM pour 40% de marge Exakis Nelite</t>
  </si>
  <si>
    <t xml:space="preserve">Remise </t>
  </si>
  <si>
    <t>Profils</t>
  </si>
  <si>
    <t>TJM Paris</t>
  </si>
  <si>
    <t>CJM Paris</t>
  </si>
  <si>
    <t>TJM Région</t>
  </si>
  <si>
    <t>CJM Région</t>
  </si>
  <si>
    <t>Consultant Junior</t>
  </si>
  <si>
    <t>Consultant</t>
  </si>
  <si>
    <t>Consultant confirmé</t>
  </si>
  <si>
    <t>Expert</t>
  </si>
  <si>
    <t>Expert senior</t>
  </si>
  <si>
    <t>Architecte Senior</t>
  </si>
  <si>
    <t>Chef de Projet Senior</t>
  </si>
  <si>
    <t>Directeur de projet</t>
  </si>
  <si>
    <t>Consultant Fonctionnel</t>
  </si>
  <si>
    <t>Consultant Fonctionnel Senior</t>
  </si>
  <si>
    <t>Expert Fonctionnel</t>
  </si>
  <si>
    <t>Référent</t>
  </si>
  <si>
    <t>Manager</t>
  </si>
  <si>
    <r>
      <t>Rappel cf supra dans le Tableau</t>
    </r>
    <r>
      <rPr>
        <b/>
        <sz val="11"/>
        <color theme="4" tint="-0.249977111117893"/>
        <rFont val="Calibri"/>
        <family val="2"/>
        <scheme val="minor"/>
      </rPr>
      <t xml:space="preserve"> PRCS à 450 €</t>
    </r>
  </si>
  <si>
    <t>Achat</t>
  </si>
  <si>
    <t>Achat Matériel / Logiciel</t>
  </si>
  <si>
    <t>Type d'achat</t>
  </si>
  <si>
    <t>Coût unitaire</t>
  </si>
  <si>
    <t>Qté</t>
  </si>
  <si>
    <t>Montant HT</t>
  </si>
  <si>
    <t>Montant Revente</t>
  </si>
  <si>
    <t>Markup (%)</t>
  </si>
  <si>
    <t xml:space="preserve">Commentaire </t>
  </si>
  <si>
    <t>Achat Prestataires externes</t>
  </si>
  <si>
    <t>Société</t>
  </si>
  <si>
    <t>Coût jour</t>
  </si>
  <si>
    <t>Nbj</t>
  </si>
  <si>
    <t>Total Coût</t>
  </si>
  <si>
    <t>Frais</t>
  </si>
  <si>
    <t xml:space="preserve">Libellé Frais </t>
  </si>
  <si>
    <t xml:space="preserve">Montant </t>
  </si>
  <si>
    <t>Montant Refacturé</t>
  </si>
  <si>
    <t>Lot 1 : Déploiement Sites Majeurs</t>
  </si>
  <si>
    <t>Lot 2: Déploiement Sites Secondaires</t>
  </si>
  <si>
    <t>Workload</t>
  </si>
  <si>
    <t>% pilotage projet</t>
  </si>
  <si>
    <t>% provision</t>
  </si>
  <si>
    <t>SOUS TOTAL</t>
  </si>
  <si>
    <t>Cout par profil</t>
  </si>
  <si>
    <t>ID</t>
  </si>
  <si>
    <t>Etape</t>
  </si>
  <si>
    <t>Tâche</t>
  </si>
  <si>
    <t>TOTAL Charge</t>
  </si>
  <si>
    <t>TOTAL
Valorisation</t>
  </si>
  <si>
    <t>Livrable</t>
  </si>
  <si>
    <t>Hypothèses/Commentaire</t>
  </si>
  <si>
    <t>1</t>
  </si>
  <si>
    <t>Gouvernance</t>
  </si>
  <si>
    <t>Kick-off projet et cadrage initial</t>
  </si>
  <si>
    <t>oui</t>
  </si>
  <si>
    <t>Réunion de lancement formelle</t>
  </si>
  <si>
    <t>Suivi hebdomadaire projet</t>
  </si>
  <si>
    <t>non</t>
  </si>
  <si>
    <t>COMOP</t>
  </si>
  <si>
    <t>COPIL mensuels et reporting</t>
  </si>
  <si>
    <t>Pilotage décisionnel</t>
  </si>
  <si>
    <t>2</t>
  </si>
  <si>
    <t>Tech</t>
  </si>
  <si>
    <t>Pilotage Tech</t>
  </si>
  <si>
    <t>Analyse tenant Entra ID</t>
  </si>
  <si>
    <t>Contraintes existantes</t>
  </si>
  <si>
    <t>Analyse Intune / WHfB existant</t>
  </si>
  <si>
    <t>Basé POC</t>
  </si>
  <si>
    <t>Analyse VPN F5 &amp; PingAM</t>
  </si>
  <si>
    <t>Dépendances critiques</t>
  </si>
  <si>
    <t>3</t>
  </si>
  <si>
    <t>Définition architecture cible globale</t>
  </si>
  <si>
    <t>Implémentation déja réalisée</t>
  </si>
  <si>
    <t>Définition scénarios d’usage</t>
  </si>
  <si>
    <t>Nominal / fallback</t>
  </si>
  <si>
    <t>Conception accès conditionnel</t>
  </si>
  <si>
    <t>Point dur du projet</t>
  </si>
  <si>
    <t>Gestion des cas dégradés</t>
  </si>
  <si>
    <t>Sécurité + UX</t>
  </si>
  <si>
    <t>4</t>
  </si>
  <si>
    <t>Configuration Entra ID</t>
  </si>
  <si>
    <t>Configuration WHfB</t>
  </si>
  <si>
    <t>Paramétrage accès conditionnel</t>
  </si>
  <si>
    <t>Intégration VPN F5</t>
  </si>
  <si>
    <t>Coordination F5</t>
  </si>
  <si>
    <t>Intégration PingAM</t>
  </si>
  <si>
    <t>Dépendance IDP</t>
  </si>
  <si>
    <t>5</t>
  </si>
  <si>
    <t>Tests &amp; Recette</t>
  </si>
  <si>
    <t>Cahier de Recette</t>
  </si>
  <si>
    <t>Corrections et ajustements</t>
  </si>
  <si>
    <t>6</t>
  </si>
  <si>
    <t>Préparation phase pilote</t>
  </si>
  <si>
    <t>Accompagnement pilote</t>
  </si>
  <si>
    <t>Forte sollicitation</t>
  </si>
  <si>
    <t>Ajustements post-pilote</t>
  </si>
  <si>
    <t>8</t>
  </si>
  <si>
    <t>Rédaction DAT + DEX final</t>
  </si>
  <si>
    <t>Transfert de compétences</t>
  </si>
  <si>
    <t>7</t>
  </si>
  <si>
    <t>Change</t>
  </si>
  <si>
    <t>Pilotage chantier Change hors Option</t>
  </si>
  <si>
    <t>Atelier - Cadrage populations et stratégie d'accompagnement</t>
  </si>
  <si>
    <t>Atelier Cadrage stratégie Change</t>
  </si>
  <si>
    <t>Livrable - Plan d'accompagnement au changement</t>
  </si>
  <si>
    <t>Livrable - 1 vidéo teasing</t>
  </si>
  <si>
    <t>Livrable - 3 Mails de communication</t>
  </si>
  <si>
    <t>Livrable - Kit Champions</t>
  </si>
  <si>
    <t>Session Mobilisation Champions</t>
  </si>
  <si>
    <t>Session Sponsoring Managers</t>
  </si>
  <si>
    <t>Livrable - 1 Modop utilisateurs</t>
  </si>
  <si>
    <t>Livrable - 1 Guide N1 / N2</t>
  </si>
  <si>
    <t>Session - 3 Webinars utilisateurs</t>
  </si>
  <si>
    <t>Livrable - 1 Tuto vidéo Windows Hello en 3 étapes</t>
  </si>
  <si>
    <t>Livrable - FAQ</t>
  </si>
  <si>
    <t>Accompagnement des 13 Sites Principaux (Distanciel)</t>
  </si>
  <si>
    <t>OPTION 1 : Accompagnement des 13 Sites principaux (Ditanciels) + 4 jours pour les vagues des grands sites</t>
  </si>
  <si>
    <t>Affiché en moitié moitié afin d'afficher un TJM Moyen. Indenpendemment on peut amener le consultant Change ou Identité sur les journées de bascule des Sites</t>
  </si>
  <si>
    <t>Pilotage Option Change 15 sites</t>
  </si>
  <si>
    <t xml:space="preserve">OPTION 2 : Dashboard Complet PowerBI </t>
  </si>
  <si>
    <t>PowerBI suivi déploiement</t>
  </si>
  <si>
    <t>9</t>
  </si>
  <si>
    <t>Risques</t>
  </si>
  <si>
    <t>Aléas accès conditionnel</t>
  </si>
  <si>
    <t>NON</t>
  </si>
  <si>
    <t>Aléas déploiement</t>
  </si>
  <si>
    <t>Aléas adoption utilisateurs</t>
  </si>
  <si>
    <t>Aléas planning / dépendances</t>
  </si>
  <si>
    <t>Métrique</t>
  </si>
  <si>
    <t>% Théorique</t>
  </si>
  <si>
    <t>Charge Théorique</t>
  </si>
  <si>
    <t>Charge Propale</t>
  </si>
  <si>
    <t>% Projet</t>
  </si>
  <si>
    <t>Ecart (%)
Projet /Théorique</t>
  </si>
  <si>
    <t>Conception générale</t>
  </si>
  <si>
    <t>Conception technique détaillée</t>
  </si>
  <si>
    <t>Cahier de recette</t>
  </si>
  <si>
    <t>Tests d'intégration / Recette interne</t>
  </si>
  <si>
    <t xml:space="preserve">Assistance recette </t>
  </si>
  <si>
    <t>Garantie (suite recette - 3 mois)</t>
  </si>
  <si>
    <t>Echéancier</t>
  </si>
  <si>
    <t>Vision FAE</t>
  </si>
  <si>
    <t>N°</t>
  </si>
  <si>
    <t>Nom Échéance</t>
  </si>
  <si>
    <t>%</t>
  </si>
  <si>
    <t>Mois Facturation</t>
  </si>
  <si>
    <t>Montant  à Facturation</t>
  </si>
  <si>
    <t>Cout Engagé Cumulé</t>
  </si>
  <si>
    <t>Montant Facturé Cumulé</t>
  </si>
  <si>
    <t>Montant FAE (€)</t>
  </si>
  <si>
    <t>Montant FAE (%)</t>
  </si>
  <si>
    <t xml:space="preserve">Commande </t>
  </si>
  <si>
    <t>Rédaction DAT</t>
  </si>
  <si>
    <t>Recette</t>
  </si>
  <si>
    <t>15 sites majeurs accompagnés (PV)</t>
  </si>
  <si>
    <t>Planning</t>
  </si>
  <si>
    <t>Charge par profil</t>
  </si>
  <si>
    <t>Ecart ?</t>
  </si>
  <si>
    <t>TOTAL JH</t>
  </si>
  <si>
    <t>COUT MENSUEL</t>
  </si>
  <si>
    <t>COUT MENSUEL CUMULE</t>
  </si>
  <si>
    <t>Phases</t>
  </si>
  <si>
    <t>Charge par phase</t>
  </si>
  <si>
    <t>TJM CSV</t>
  </si>
  <si>
    <t>Ventilation des charges</t>
  </si>
  <si>
    <t>Ventilation des charges par phase</t>
  </si>
  <si>
    <t>PHASE</t>
  </si>
  <si>
    <t>Total</t>
  </si>
  <si>
    <t>Charges</t>
  </si>
  <si>
    <t>Montants</t>
  </si>
  <si>
    <t>Ventilation des charges par étape</t>
  </si>
  <si>
    <t>ETAPE</t>
  </si>
  <si>
    <t>Ventilation des couts par profil</t>
  </si>
  <si>
    <t>Référence</t>
  </si>
  <si>
    <t>MOIS</t>
  </si>
  <si>
    <t>TYPE ACHAT</t>
  </si>
  <si>
    <t>ACTIVITE</t>
  </si>
  <si>
    <t>AGENCE</t>
  </si>
  <si>
    <t>CSP Microsoft</t>
  </si>
  <si>
    <t>Apps &amp; Infrastructure</t>
  </si>
  <si>
    <t>AgilityCenter</t>
  </si>
  <si>
    <t>Analyse de l'existant</t>
  </si>
  <si>
    <t>JetBrains</t>
  </si>
  <si>
    <t>Apps &amp; Infrastructure &amp; Data</t>
  </si>
  <si>
    <t>Aix</t>
  </si>
  <si>
    <t>Logiciel</t>
  </si>
  <si>
    <t>Business Intelligence</t>
  </si>
  <si>
    <t>Nice</t>
  </si>
  <si>
    <t>ManageEngine</t>
  </si>
  <si>
    <t>Change Management &amp; Motion Design</t>
  </si>
  <si>
    <t>Lyon</t>
  </si>
  <si>
    <t>Matériel</t>
  </si>
  <si>
    <t>Data BI &amp; IA</t>
  </si>
  <si>
    <t>Clermont</t>
  </si>
  <si>
    <t>GARANTIE</t>
  </si>
  <si>
    <t>Ergonomie/Graphisme</t>
  </si>
  <si>
    <t>Skillisy</t>
  </si>
  <si>
    <t>Enterprise Solution Center</t>
  </si>
  <si>
    <t>Grenoble</t>
  </si>
  <si>
    <t>TMA</t>
  </si>
  <si>
    <t>Rescue</t>
  </si>
  <si>
    <t>Intelligence Artificielle</t>
  </si>
  <si>
    <t>Toulouse</t>
  </si>
  <si>
    <t>Run2C</t>
  </si>
  <si>
    <t>Modern Apps</t>
  </si>
  <si>
    <t>Agence Ouest</t>
  </si>
  <si>
    <t>Support - MCO</t>
  </si>
  <si>
    <t>Modern Desktop</t>
  </si>
  <si>
    <t>Nord</t>
  </si>
  <si>
    <t>Modern Workplace</t>
  </si>
  <si>
    <t>Paris</t>
  </si>
  <si>
    <t>Pilote</t>
  </si>
  <si>
    <t>Modern Data Center</t>
  </si>
  <si>
    <t>CSV Infra</t>
  </si>
  <si>
    <t>Généralisation</t>
  </si>
  <si>
    <t>Desktop &amp; Trust</t>
  </si>
  <si>
    <t>CSV Log</t>
  </si>
  <si>
    <t>Expert fonctionnel</t>
  </si>
  <si>
    <t>Identity &amp; Trust</t>
  </si>
  <si>
    <t>Maroc</t>
  </si>
  <si>
    <t>Reprise de contenu</t>
  </si>
  <si>
    <t>Productivity &amp; Mobility</t>
  </si>
  <si>
    <t>EMS</t>
  </si>
  <si>
    <t>Magellan</t>
  </si>
  <si>
    <t>Dev Confirmé</t>
  </si>
  <si>
    <t>Non Applicable</t>
  </si>
  <si>
    <t>Structure</t>
  </si>
  <si>
    <t>Dev Junior</t>
  </si>
  <si>
    <t xml:space="preserve">Provision pour risque </t>
  </si>
  <si>
    <t>Testeur</t>
  </si>
  <si>
    <t>Hors abaques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</si>
</sst>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0.0%"/>
    <numFmt numFmtId="166" formatCode="0.0"/>
    <numFmt numFmtId="167" formatCode="_-* #,##0.00\ [$€-40C]_-;\-* #,##0.00\ [$€-40C]_-;_-* &quot;-&quot;??\ [$€-40C]_-;_-@_-"/>
    <numFmt numFmtId="168" formatCode="#,##0.00\ &quot;€&quot;"/>
    <numFmt numFmtId="169" formatCode="_-* #,##0.0_-;\-* #,##0.0_-;_-* &quot;-&quot;??_-;_-@_-"/>
    <numFmt numFmtId="170" formatCode="[$-40C]mmm\-yy;@"/>
    <numFmt numFmtId="171" formatCode="#,##0\ &quot;€&quot;"/>
  </numFmts>
  <fonts count="32">
    <font>
      <sz val="11"/>
      <color theme="1"/>
      <name val="Segoe UI Light"/>
      <family val="2"/>
    </font>
    <font>
      <sz val="11"/>
      <color theme="1"/>
      <name val="Segoe UI Light"/>
      <family val="2"/>
    </font>
    <font>
      <b/>
      <i/>
      <sz val="16"/>
      <color rgb="FFFFFFFF"/>
      <name val="Tahoma"/>
      <family val="2"/>
    </font>
    <font>
      <b/>
      <i/>
      <sz val="14"/>
      <color rgb="FFFFFFFF"/>
      <name val="Tahoma"/>
      <family val="2"/>
    </font>
    <font>
      <sz val="11"/>
      <color theme="1"/>
      <name val="Tahoma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b/>
      <i/>
      <sz val="11"/>
      <color rgb="FFFFFFFF"/>
      <name val="Tahoma"/>
      <family val="2"/>
    </font>
    <font>
      <b/>
      <sz val="18"/>
      <color rgb="FFFFFFFF"/>
      <name val="Tahoma"/>
      <family val="2"/>
    </font>
    <font>
      <b/>
      <sz val="16"/>
      <color rgb="FFFFFFFF"/>
      <name val="Tahoma"/>
      <family val="2"/>
    </font>
    <font>
      <sz val="9"/>
      <color theme="0"/>
      <name val="Tahoma"/>
      <family val="2"/>
    </font>
    <font>
      <b/>
      <sz val="9"/>
      <color theme="0"/>
      <name val="Tahoma"/>
      <family val="2"/>
    </font>
    <font>
      <sz val="11"/>
      <color theme="0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9"/>
      <color theme="0"/>
      <name val="Segoe UI Light"/>
      <family val="2"/>
    </font>
    <font>
      <b/>
      <sz val="11"/>
      <color theme="1"/>
      <name val="Tahoma"/>
      <family val="2"/>
    </font>
    <font>
      <b/>
      <sz val="11"/>
      <color theme="1"/>
      <name val="Segoe UI Light"/>
      <family val="2"/>
    </font>
    <font>
      <sz val="8"/>
      <color theme="1"/>
      <name val="Segoe UI Light"/>
      <family val="2"/>
    </font>
    <font>
      <sz val="10"/>
      <color theme="1"/>
      <name val="Segoe UI Light"/>
      <family val="2"/>
    </font>
    <font>
      <b/>
      <sz val="10"/>
      <color theme="0"/>
      <name val="Tahoma"/>
      <family val="2"/>
    </font>
    <font>
      <b/>
      <sz val="11"/>
      <color theme="1"/>
      <name val="Calibri"/>
      <family val="2"/>
      <scheme val="minor"/>
    </font>
    <font>
      <i/>
      <sz val="9"/>
      <color theme="1"/>
      <name val="Tahoma"/>
      <family val="2"/>
    </font>
    <font>
      <sz val="8"/>
      <name val="Segoe UI Light"/>
      <family val="2"/>
    </font>
    <font>
      <sz val="10"/>
      <color theme="0"/>
      <name val="Tahoma"/>
      <family val="2"/>
    </font>
    <font>
      <b/>
      <sz val="11"/>
      <color theme="4" tint="-0.249977111117893"/>
      <name val="Calibri"/>
      <family val="2"/>
      <scheme val="minor"/>
    </font>
    <font>
      <b/>
      <sz val="11"/>
      <color rgb="FF000000"/>
      <name val="Calibri"/>
      <family val="2"/>
    </font>
    <font>
      <sz val="8"/>
      <color rgb="FFFF0000"/>
      <name val="Segoe UI Light"/>
      <family val="2"/>
    </font>
    <font>
      <sz val="11"/>
      <color rgb="FF000000"/>
      <name val="Tahoma"/>
      <family val="2"/>
    </font>
    <font>
      <b/>
      <i/>
      <sz val="10"/>
      <color rgb="FFFFFFFF"/>
      <name val="Tahoma"/>
      <family val="2"/>
    </font>
    <font>
      <b/>
      <i/>
      <sz val="8"/>
      <color rgb="FFFFFFFF"/>
      <name val="Tahoma"/>
      <family val="2"/>
    </font>
    <font>
      <sz val="9"/>
      <color theme="1"/>
      <name val="Tahoma"/>
    </font>
  </fonts>
  <fills count="17">
    <fill>
      <patternFill patternType="none"/>
    </fill>
    <fill>
      <patternFill patternType="gray125"/>
    </fill>
    <fill>
      <patternFill patternType="solid">
        <fgColor rgb="FF365F9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rgb="FF3054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8" tint="0.79998168889431442"/>
      </bottom>
      <diagonal/>
    </border>
    <border>
      <left style="thin">
        <color indexed="64"/>
      </left>
      <right style="thin">
        <color indexed="64"/>
      </right>
      <top/>
      <bottom style="thin">
        <color theme="8" tint="0.79998168889431442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theme="8" tint="0.79998168889431442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theme="8" tint="0.79998168889431442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2">
    <xf numFmtId="0" fontId="0" fillId="0" borderId="0" xfId="0"/>
    <xf numFmtId="0" fontId="2" fillId="2" borderId="0" xfId="0" applyFont="1" applyFill="1" applyAlignment="1">
      <alignment vertical="center" wrapText="1"/>
    </xf>
    <xf numFmtId="14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14" fontId="2" fillId="2" borderId="0" xfId="0" applyNumberFormat="1" applyFont="1" applyFill="1" applyAlignment="1">
      <alignment horizontal="center" vertical="center"/>
    </xf>
    <xf numFmtId="0" fontId="6" fillId="0" borderId="1" xfId="0" applyFont="1" applyBorder="1"/>
    <xf numFmtId="0" fontId="6" fillId="0" borderId="0" xfId="0" applyFont="1"/>
    <xf numFmtId="0" fontId="7" fillId="2" borderId="0" xfId="0" applyFont="1" applyFill="1" applyAlignment="1">
      <alignment vertical="center" wrapText="1"/>
    </xf>
    <xf numFmtId="14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14" fontId="7" fillId="2" borderId="0" xfId="0" applyNumberFormat="1" applyFont="1" applyFill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/>
    </xf>
    <xf numFmtId="49" fontId="6" fillId="0" borderId="0" xfId="0" applyNumberFormat="1" applyFont="1"/>
    <xf numFmtId="166" fontId="6" fillId="3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 applyProtection="1">
      <alignment horizontal="center" vertical="top" wrapText="1"/>
      <protection locked="0"/>
    </xf>
    <xf numFmtId="0" fontId="6" fillId="0" borderId="1" xfId="0" applyFont="1" applyBorder="1" applyAlignment="1" applyProtection="1">
      <alignment horizontal="center" vertical="top" wrapText="1"/>
      <protection locked="0"/>
    </xf>
    <xf numFmtId="0" fontId="6" fillId="0" borderId="1" xfId="0" applyFont="1" applyBorder="1" applyAlignment="1" applyProtection="1">
      <alignment vertical="top" wrapText="1"/>
      <protection locked="0"/>
    </xf>
    <xf numFmtId="0" fontId="6" fillId="0" borderId="3" xfId="0" applyFont="1" applyBorder="1" applyAlignment="1" applyProtection="1">
      <alignment horizontal="center" vertical="top" wrapText="1"/>
      <protection locked="0"/>
    </xf>
    <xf numFmtId="9" fontId="6" fillId="3" borderId="1" xfId="2" applyFont="1" applyFill="1" applyBorder="1" applyAlignment="1">
      <alignment horizontal="right" vertical="center" indent="1"/>
    </xf>
    <xf numFmtId="0" fontId="6" fillId="0" borderId="1" xfId="0" applyFont="1" applyBorder="1" applyAlignment="1">
      <alignment horizontal="center" vertical="center"/>
    </xf>
    <xf numFmtId="0" fontId="12" fillId="0" borderId="0" xfId="0" applyFont="1"/>
    <xf numFmtId="165" fontId="10" fillId="7" borderId="1" xfId="2" applyNumberFormat="1" applyFont="1" applyFill="1" applyBorder="1" applyAlignment="1">
      <alignment horizontal="right" vertical="center" indent="1"/>
    </xf>
    <xf numFmtId="0" fontId="10" fillId="0" borderId="0" xfId="0" applyFont="1"/>
    <xf numFmtId="0" fontId="11" fillId="7" borderId="1" xfId="0" applyFont="1" applyFill="1" applyBorder="1"/>
    <xf numFmtId="0" fontId="10" fillId="7" borderId="1" xfId="0" applyFont="1" applyFill="1" applyBorder="1"/>
    <xf numFmtId="44" fontId="10" fillId="7" borderId="1" xfId="1" applyFont="1" applyFill="1" applyBorder="1"/>
    <xf numFmtId="44" fontId="10" fillId="7" borderId="1" xfId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horizontal="center" vertical="center" wrapText="1"/>
    </xf>
    <xf numFmtId="166" fontId="10" fillId="7" borderId="1" xfId="0" applyNumberFormat="1" applyFont="1" applyFill="1" applyBorder="1" applyAlignment="1">
      <alignment horizontal="center" vertical="center"/>
    </xf>
    <xf numFmtId="166" fontId="10" fillId="7" borderId="1" xfId="0" applyNumberFormat="1" applyFont="1" applyFill="1" applyBorder="1" applyAlignment="1">
      <alignment horizontal="right" vertical="center" indent="1"/>
    </xf>
    <xf numFmtId="0" fontId="10" fillId="7" borderId="1" xfId="0" applyFont="1" applyFill="1" applyBorder="1" applyAlignment="1">
      <alignment horizontal="right"/>
    </xf>
    <xf numFmtId="0" fontId="10" fillId="7" borderId="2" xfId="0" applyFont="1" applyFill="1" applyBorder="1" applyAlignment="1">
      <alignment horizontal="right" indent="1"/>
    </xf>
    <xf numFmtId="14" fontId="9" fillId="2" borderId="0" xfId="0" applyNumberFormat="1" applyFont="1" applyFill="1" applyAlignment="1">
      <alignment horizontal="left" vertical="center"/>
    </xf>
    <xf numFmtId="0" fontId="10" fillId="7" borderId="1" xfId="0" applyFont="1" applyFill="1" applyBorder="1" applyAlignment="1">
      <alignment vertical="center" wrapText="1"/>
    </xf>
    <xf numFmtId="44" fontId="4" fillId="0" borderId="0" xfId="0" applyNumberFormat="1" applyFont="1"/>
    <xf numFmtId="0" fontId="13" fillId="0" borderId="1" xfId="0" applyFont="1" applyBorder="1" applyAlignment="1" applyProtection="1">
      <alignment vertical="top" wrapText="1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0" fillId="7" borderId="7" xfId="0" applyFont="1" applyFill="1" applyBorder="1" applyAlignment="1">
      <alignment horizontal="right" indent="1"/>
    </xf>
    <xf numFmtId="0" fontId="6" fillId="0" borderId="6" xfId="0" applyFont="1" applyBorder="1" applyAlignment="1" applyProtection="1">
      <alignment vertical="top" wrapText="1"/>
      <protection locked="0"/>
    </xf>
    <xf numFmtId="0" fontId="6" fillId="0" borderId="8" xfId="0" applyFont="1" applyBorder="1" applyAlignment="1" applyProtection="1">
      <alignment horizontal="center" vertical="top" wrapText="1"/>
      <protection locked="0"/>
    </xf>
    <xf numFmtId="0" fontId="10" fillId="7" borderId="1" xfId="0" applyFont="1" applyFill="1" applyBorder="1" applyAlignment="1">
      <alignment horizontal="center" vertical="center" textRotation="90"/>
    </xf>
    <xf numFmtId="0" fontId="10" fillId="7" borderId="1" xfId="0" applyFont="1" applyFill="1" applyBorder="1" applyAlignment="1">
      <alignment horizontal="right" vertical="center" indent="1"/>
    </xf>
    <xf numFmtId="44" fontId="14" fillId="10" borderId="1" xfId="1" applyFont="1" applyFill="1" applyBorder="1" applyAlignment="1">
      <alignment horizontal="center" vertical="center"/>
    </xf>
    <xf numFmtId="44" fontId="6" fillId="0" borderId="0" xfId="0" applyNumberFormat="1" applyFont="1"/>
    <xf numFmtId="0" fontId="10" fillId="7" borderId="1" xfId="0" applyFont="1" applyFill="1" applyBorder="1" applyAlignment="1">
      <alignment horizontal="left" vertical="center"/>
    </xf>
    <xf numFmtId="166" fontId="14" fillId="10" borderId="1" xfId="0" applyNumberFormat="1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 indent="1"/>
    </xf>
    <xf numFmtId="0" fontId="10" fillId="6" borderId="10" xfId="0" applyFont="1" applyFill="1" applyBorder="1" applyAlignment="1">
      <alignment wrapText="1"/>
    </xf>
    <xf numFmtId="0" fontId="10" fillId="6" borderId="11" xfId="0" applyFont="1" applyFill="1" applyBorder="1" applyAlignment="1">
      <alignment wrapText="1"/>
    </xf>
    <xf numFmtId="0" fontId="10" fillId="6" borderId="6" xfId="0" applyFont="1" applyFill="1" applyBorder="1" applyAlignment="1">
      <alignment wrapText="1"/>
    </xf>
    <xf numFmtId="0" fontId="10" fillId="6" borderId="1" xfId="0" applyFont="1" applyFill="1" applyBorder="1" applyAlignment="1">
      <alignment wrapText="1"/>
    </xf>
    <xf numFmtId="0" fontId="11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166" fontId="11" fillId="7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right" vertical="center"/>
    </xf>
    <xf numFmtId="0" fontId="11" fillId="7" borderId="1" xfId="0" applyFont="1" applyFill="1" applyBorder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44" fontId="15" fillId="12" borderId="1" xfId="1" applyFont="1" applyFill="1" applyBorder="1"/>
    <xf numFmtId="0" fontId="16" fillId="0" borderId="0" xfId="0" applyFont="1"/>
    <xf numFmtId="0" fontId="6" fillId="9" borderId="1" xfId="0" applyFont="1" applyFill="1" applyBorder="1" applyAlignment="1" applyProtection="1">
      <alignment horizontal="left" vertical="top" wrapText="1"/>
      <protection locked="0"/>
    </xf>
    <xf numFmtId="44" fontId="6" fillId="9" borderId="1" xfId="1" applyFont="1" applyFill="1" applyBorder="1" applyAlignment="1" applyProtection="1">
      <alignment vertical="top"/>
      <protection locked="0"/>
    </xf>
    <xf numFmtId="44" fontId="10" fillId="12" borderId="1" xfId="0" applyNumberFormat="1" applyFont="1" applyFill="1" applyBorder="1"/>
    <xf numFmtId="44" fontId="10" fillId="7" borderId="1" xfId="0" applyNumberFormat="1" applyFont="1" applyFill="1" applyBorder="1"/>
    <xf numFmtId="0" fontId="6" fillId="0" borderId="2" xfId="0" applyFont="1" applyBorder="1" applyAlignment="1" applyProtection="1">
      <alignment horizontal="left" vertical="top" wrapText="1"/>
      <protection locked="0"/>
    </xf>
    <xf numFmtId="0" fontId="6" fillId="9" borderId="1" xfId="0" applyFont="1" applyFill="1" applyBorder="1" applyProtection="1">
      <protection locked="0"/>
    </xf>
    <xf numFmtId="0" fontId="6" fillId="9" borderId="1" xfId="0" applyFont="1" applyFill="1" applyBorder="1" applyAlignment="1" applyProtection="1">
      <alignment horizontal="center" vertical="center"/>
      <protection locked="0"/>
    </xf>
    <xf numFmtId="0" fontId="10" fillId="6" borderId="12" xfId="0" applyFont="1" applyFill="1" applyBorder="1" applyAlignment="1">
      <alignment wrapText="1"/>
    </xf>
    <xf numFmtId="0" fontId="10" fillId="6" borderId="14" xfId="0" applyFont="1" applyFill="1" applyBorder="1" applyAlignment="1">
      <alignment wrapText="1"/>
    </xf>
    <xf numFmtId="44" fontId="6" fillId="0" borderId="15" xfId="1" applyFont="1" applyBorder="1" applyAlignment="1">
      <alignment horizontal="right" vertical="center"/>
    </xf>
    <xf numFmtId="0" fontId="10" fillId="6" borderId="16" xfId="0" applyFont="1" applyFill="1" applyBorder="1" applyAlignment="1">
      <alignment wrapText="1"/>
    </xf>
    <xf numFmtId="44" fontId="6" fillId="8" borderId="1" xfId="1" applyFont="1" applyFill="1" applyBorder="1" applyAlignment="1">
      <alignment horizontal="right" vertical="center"/>
    </xf>
    <xf numFmtId="44" fontId="6" fillId="0" borderId="13" xfId="1" applyFont="1" applyBorder="1" applyAlignment="1">
      <alignment horizontal="right" vertical="center"/>
    </xf>
    <xf numFmtId="0" fontId="4" fillId="0" borderId="0" xfId="0" applyFont="1" applyAlignment="1">
      <alignment vertical="top"/>
    </xf>
    <xf numFmtId="44" fontId="5" fillId="0" borderId="17" xfId="1" applyFont="1" applyBorder="1" applyAlignment="1">
      <alignment horizontal="right" vertical="center"/>
    </xf>
    <xf numFmtId="10" fontId="5" fillId="0" borderId="15" xfId="2" applyNumberFormat="1" applyFont="1" applyBorder="1" applyAlignment="1">
      <alignment horizontal="right" vertical="center"/>
    </xf>
    <xf numFmtId="10" fontId="5" fillId="0" borderId="1" xfId="2" applyNumberFormat="1" applyFont="1" applyBorder="1" applyAlignment="1">
      <alignment horizontal="right" vertical="center"/>
    </xf>
    <xf numFmtId="2" fontId="6" fillId="8" borderId="1" xfId="1" applyNumberFormat="1" applyFont="1" applyFill="1" applyBorder="1" applyAlignment="1">
      <alignment horizontal="right" vertical="center"/>
    </xf>
    <xf numFmtId="44" fontId="6" fillId="8" borderId="3" xfId="1" applyFont="1" applyFill="1" applyBorder="1" applyAlignment="1">
      <alignment horizontal="right" vertical="center"/>
    </xf>
    <xf numFmtId="10" fontId="5" fillId="0" borderId="17" xfId="2" applyNumberFormat="1" applyFont="1" applyBorder="1" applyAlignment="1">
      <alignment horizontal="right" vertical="center"/>
    </xf>
    <xf numFmtId="0" fontId="5" fillId="0" borderId="13" xfId="0" applyFont="1" applyBorder="1" applyAlignment="1">
      <alignment horizontal="right" vertical="center" indent="1"/>
    </xf>
    <xf numFmtId="44" fontId="6" fillId="8" borderId="1" xfId="0" applyNumberFormat="1" applyFont="1" applyFill="1" applyBorder="1" applyAlignment="1">
      <alignment horizontal="center" vertical="center"/>
    </xf>
    <xf numFmtId="44" fontId="10" fillId="12" borderId="1" xfId="1" applyFont="1" applyFill="1" applyBorder="1"/>
    <xf numFmtId="9" fontId="6" fillId="9" borderId="1" xfId="2" applyFont="1" applyFill="1" applyBorder="1" applyAlignment="1" applyProtection="1">
      <alignment horizontal="right" indent="1"/>
      <protection locked="0"/>
    </xf>
    <xf numFmtId="0" fontId="10" fillId="7" borderId="1" xfId="0" applyFont="1" applyFill="1" applyBorder="1" applyAlignment="1">
      <alignment horizontal="center" vertical="center" textRotation="45"/>
    </xf>
    <xf numFmtId="0" fontId="11" fillId="7" borderId="1" xfId="0" applyFont="1" applyFill="1" applyBorder="1" applyAlignment="1">
      <alignment horizontal="center" vertical="center" textRotation="45"/>
    </xf>
    <xf numFmtId="0" fontId="10" fillId="7" borderId="1" xfId="0" applyFont="1" applyFill="1" applyBorder="1" applyAlignment="1">
      <alignment horizontal="center" vertical="center" textRotation="45" wrapText="1"/>
    </xf>
    <xf numFmtId="0" fontId="0" fillId="0" borderId="0" xfId="0" applyAlignment="1">
      <alignment wrapText="1"/>
    </xf>
    <xf numFmtId="0" fontId="17" fillId="0" borderId="0" xfId="0" applyFont="1"/>
    <xf numFmtId="0" fontId="6" fillId="0" borderId="2" xfId="0" applyFont="1" applyBorder="1" applyAlignment="1" applyProtection="1">
      <alignment vertical="top" wrapText="1"/>
      <protection locked="0"/>
    </xf>
    <xf numFmtId="0" fontId="10" fillId="12" borderId="1" xfId="0" applyFont="1" applyFill="1" applyBorder="1" applyAlignment="1" applyProtection="1">
      <alignment vertical="top" wrapText="1"/>
      <protection locked="0"/>
    </xf>
    <xf numFmtId="44" fontId="11" fillId="7" borderId="1" xfId="1" applyFont="1" applyFill="1" applyBorder="1"/>
    <xf numFmtId="44" fontId="18" fillId="0" borderId="0" xfId="1" applyFont="1"/>
    <xf numFmtId="0" fontId="19" fillId="0" borderId="0" xfId="0" applyFont="1"/>
    <xf numFmtId="0" fontId="0" fillId="0" borderId="0" xfId="0" applyAlignment="1">
      <alignment horizontal="center" vertical="center"/>
    </xf>
    <xf numFmtId="2" fontId="20" fillId="7" borderId="1" xfId="0" applyNumberFormat="1" applyFont="1" applyFill="1" applyBorder="1" applyAlignment="1">
      <alignment horizontal="center" vertical="center"/>
    </xf>
    <xf numFmtId="44" fontId="6" fillId="0" borderId="1" xfId="1" applyFont="1" applyBorder="1"/>
    <xf numFmtId="2" fontId="6" fillId="0" borderId="1" xfId="0" applyNumberFormat="1" applyFont="1" applyBorder="1" applyAlignment="1">
      <alignment horizontal="center" vertical="center"/>
    </xf>
    <xf numFmtId="0" fontId="11" fillId="12" borderId="1" xfId="0" applyFont="1" applyFill="1" applyBorder="1" applyAlignment="1" applyProtection="1">
      <alignment horizontal="center" vertical="center" wrapText="1"/>
      <protection locked="0"/>
    </xf>
    <xf numFmtId="10" fontId="10" fillId="7" borderId="1" xfId="2" applyNumberFormat="1" applyFont="1" applyFill="1" applyBorder="1" applyAlignment="1">
      <alignment horizontal="center" vertical="center"/>
    </xf>
    <xf numFmtId="6" fontId="21" fillId="8" borderId="0" xfId="0" applyNumberFormat="1" applyFont="1" applyFill="1"/>
    <xf numFmtId="167" fontId="6" fillId="0" borderId="1" xfId="1" applyNumberFormat="1" applyFont="1" applyBorder="1"/>
    <xf numFmtId="10" fontId="6" fillId="0" borderId="15" xfId="2" applyNumberFormat="1" applyFont="1" applyBorder="1" applyAlignment="1">
      <alignment horizontal="right" vertical="center"/>
    </xf>
    <xf numFmtId="10" fontId="6" fillId="8" borderId="1" xfId="2" applyNumberFormat="1" applyFont="1" applyFill="1" applyBorder="1" applyAlignment="1">
      <alignment horizontal="right" vertical="center"/>
    </xf>
    <xf numFmtId="44" fontId="5" fillId="0" borderId="1" xfId="1" applyFont="1" applyBorder="1" applyAlignment="1">
      <alignment horizontal="right" vertical="center"/>
    </xf>
    <xf numFmtId="44" fontId="11" fillId="7" borderId="1" xfId="0" applyNumberFormat="1" applyFont="1" applyFill="1" applyBorder="1" applyAlignment="1">
      <alignment horizontal="center" vertical="center"/>
    </xf>
    <xf numFmtId="14" fontId="8" fillId="2" borderId="0" xfId="0" applyNumberFormat="1" applyFont="1" applyFill="1" applyAlignment="1">
      <alignment horizontal="left" vertical="center"/>
    </xf>
    <xf numFmtId="165" fontId="6" fillId="0" borderId="1" xfId="2" applyNumberFormat="1" applyFont="1" applyBorder="1" applyAlignment="1">
      <alignment horizontal="center" vertical="top"/>
    </xf>
    <xf numFmtId="10" fontId="6" fillId="0" borderId="1" xfId="2" applyNumberFormat="1" applyFont="1" applyBorder="1" applyAlignment="1">
      <alignment horizontal="center" vertical="top"/>
    </xf>
    <xf numFmtId="169" fontId="5" fillId="0" borderId="13" xfId="3" applyNumberFormat="1" applyFont="1" applyBorder="1" applyAlignment="1">
      <alignment horizontal="right" vertical="center"/>
    </xf>
    <xf numFmtId="9" fontId="22" fillId="0" borderId="0" xfId="2" applyFont="1"/>
    <xf numFmtId="0" fontId="22" fillId="8" borderId="0" xfId="0" applyFont="1" applyFill="1"/>
    <xf numFmtId="44" fontId="5" fillId="0" borderId="13" xfId="1" applyFont="1" applyBorder="1" applyAlignment="1">
      <alignment horizontal="right" vertical="center"/>
    </xf>
    <xf numFmtId="44" fontId="5" fillId="0" borderId="0" xfId="1" applyFont="1" applyBorder="1" applyAlignment="1">
      <alignment horizontal="right" vertical="center"/>
    </xf>
    <xf numFmtId="0" fontId="10" fillId="0" borderId="0" xfId="0" applyFont="1" applyAlignment="1">
      <alignment wrapText="1"/>
    </xf>
    <xf numFmtId="44" fontId="6" fillId="9" borderId="1" xfId="1" applyFont="1" applyFill="1" applyBorder="1" applyAlignment="1" applyProtection="1">
      <alignment horizontal="right" vertical="top"/>
      <protection locked="0"/>
    </xf>
    <xf numFmtId="0" fontId="6" fillId="0" borderId="0" xfId="0" applyFont="1" applyAlignment="1">
      <alignment horizontal="center"/>
    </xf>
    <xf numFmtId="169" fontId="6" fillId="9" borderId="1" xfId="3" applyNumberFormat="1" applyFont="1" applyFill="1" applyBorder="1" applyAlignment="1" applyProtection="1">
      <alignment horizontal="center" vertical="top"/>
      <protection locked="0"/>
    </xf>
    <xf numFmtId="44" fontId="10" fillId="7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44" fontId="6" fillId="0" borderId="1" xfId="1" applyFont="1" applyBorder="1" applyAlignment="1">
      <alignment horizontal="center" vertical="top"/>
    </xf>
    <xf numFmtId="44" fontId="10" fillId="7" borderId="0" xfId="1" applyFont="1" applyFill="1" applyBorder="1"/>
    <xf numFmtId="169" fontId="10" fillId="7" borderId="0" xfId="3" applyNumberFormat="1" applyFont="1" applyFill="1" applyBorder="1" applyAlignment="1">
      <alignment horizontal="center"/>
    </xf>
    <xf numFmtId="10" fontId="10" fillId="7" borderId="0" xfId="2" applyNumberFormat="1" applyFont="1" applyFill="1" applyBorder="1" applyAlignment="1">
      <alignment horizontal="center"/>
    </xf>
    <xf numFmtId="14" fontId="9" fillId="2" borderId="0" xfId="0" applyNumberFormat="1" applyFont="1" applyFill="1" applyAlignment="1">
      <alignment horizontal="left" vertical="center" wrapText="1"/>
    </xf>
    <xf numFmtId="0" fontId="5" fillId="0" borderId="0" xfId="0" applyFont="1"/>
    <xf numFmtId="44" fontId="0" fillId="0" borderId="0" xfId="0" applyNumberFormat="1"/>
    <xf numFmtId="168" fontId="6" fillId="0" borderId="1" xfId="0" applyNumberFormat="1" applyFont="1" applyBorder="1" applyAlignment="1">
      <alignment horizontal="left" vertical="center"/>
    </xf>
    <xf numFmtId="168" fontId="6" fillId="0" borderId="21" xfId="0" applyNumberFormat="1" applyFont="1" applyBorder="1" applyAlignment="1">
      <alignment horizontal="left" vertical="center"/>
    </xf>
    <xf numFmtId="170" fontId="6" fillId="0" borderId="1" xfId="0" applyNumberFormat="1" applyFont="1" applyBorder="1" applyAlignment="1">
      <alignment horizontal="center" vertical="center"/>
    </xf>
    <xf numFmtId="170" fontId="11" fillId="7" borderId="1" xfId="0" applyNumberFormat="1" applyFont="1" applyFill="1" applyBorder="1" applyAlignment="1">
      <alignment horizontal="center" vertical="center" wrapText="1"/>
    </xf>
    <xf numFmtId="170" fontId="6" fillId="9" borderId="1" xfId="2" applyNumberFormat="1" applyFont="1" applyFill="1" applyBorder="1" applyAlignment="1" applyProtection="1">
      <alignment horizontal="center" vertical="center"/>
      <protection locked="0"/>
    </xf>
    <xf numFmtId="166" fontId="6" fillId="9" borderId="1" xfId="0" applyNumberFormat="1" applyFont="1" applyFill="1" applyBorder="1" applyAlignment="1" applyProtection="1">
      <alignment horizontal="center" vertical="center"/>
      <protection locked="0"/>
    </xf>
    <xf numFmtId="10" fontId="10" fillId="12" borderId="1" xfId="2" applyNumberFormat="1" applyFont="1" applyFill="1" applyBorder="1"/>
    <xf numFmtId="44" fontId="6" fillId="9" borderId="1" xfId="1" applyFont="1" applyFill="1" applyBorder="1" applyAlignment="1" applyProtection="1">
      <alignment horizontal="left" vertical="center"/>
      <protection locked="0"/>
    </xf>
    <xf numFmtId="0" fontId="6" fillId="9" borderId="0" xfId="0" applyFont="1" applyFill="1" applyAlignment="1" applyProtection="1">
      <alignment horizontal="left"/>
      <protection locked="0"/>
    </xf>
    <xf numFmtId="14" fontId="6" fillId="9" borderId="0" xfId="0" applyNumberFormat="1" applyFont="1" applyFill="1" applyAlignment="1" applyProtection="1">
      <alignment horizontal="left"/>
      <protection locked="0"/>
    </xf>
    <xf numFmtId="44" fontId="22" fillId="0" borderId="0" xfId="1" applyFont="1" applyProtection="1">
      <protection locked="0"/>
    </xf>
    <xf numFmtId="10" fontId="22" fillId="0" borderId="0" xfId="0" applyNumberFormat="1" applyFont="1" applyProtection="1">
      <protection locked="0"/>
    </xf>
    <xf numFmtId="165" fontId="10" fillId="7" borderId="1" xfId="2" applyNumberFormat="1" applyFont="1" applyFill="1" applyBorder="1" applyAlignment="1" applyProtection="1">
      <alignment horizontal="right" vertical="center" indent="1"/>
      <protection locked="0"/>
    </xf>
    <xf numFmtId="2" fontId="24" fillId="7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9" fontId="22" fillId="0" borderId="0" xfId="2" applyFont="1" applyAlignment="1">
      <alignment horizontal="center" vertical="center"/>
    </xf>
    <xf numFmtId="0" fontId="6" fillId="9" borderId="1" xfId="0" applyFont="1" applyFill="1" applyBorder="1" applyAlignment="1" applyProtection="1">
      <alignment vertical="center"/>
      <protection locked="0"/>
    </xf>
    <xf numFmtId="44" fontId="6" fillId="9" borderId="1" xfId="1" applyFont="1" applyFill="1" applyBorder="1" applyAlignment="1" applyProtection="1">
      <alignment vertical="center"/>
      <protection locked="0"/>
    </xf>
    <xf numFmtId="168" fontId="6" fillId="9" borderId="1" xfId="1" applyNumberFormat="1" applyFont="1" applyFill="1" applyBorder="1" applyAlignment="1" applyProtection="1">
      <alignment vertical="center"/>
      <protection locked="0"/>
    </xf>
    <xf numFmtId="8" fontId="6" fillId="0" borderId="1" xfId="1" applyNumberFormat="1" applyFont="1" applyFill="1" applyBorder="1" applyAlignment="1" applyProtection="1">
      <alignment vertical="center"/>
    </xf>
    <xf numFmtId="44" fontId="6" fillId="8" borderId="1" xfId="1" applyFont="1" applyFill="1" applyBorder="1" applyAlignment="1">
      <alignment vertical="center"/>
    </xf>
    <xf numFmtId="166" fontId="6" fillId="8" borderId="1" xfId="0" applyNumberFormat="1" applyFont="1" applyFill="1" applyBorder="1" applyAlignment="1">
      <alignment horizontal="center" vertical="center"/>
    </xf>
    <xf numFmtId="44" fontId="4" fillId="0" borderId="0" xfId="0" applyNumberFormat="1" applyFont="1" applyAlignment="1">
      <alignment vertical="center"/>
    </xf>
    <xf numFmtId="8" fontId="6" fillId="9" borderId="1" xfId="1" applyNumberFormat="1" applyFont="1" applyFill="1" applyBorder="1" applyAlignment="1" applyProtection="1">
      <alignment vertical="center"/>
      <protection locked="0"/>
    </xf>
    <xf numFmtId="0" fontId="6" fillId="0" borderId="0" xfId="0" applyFont="1" applyAlignment="1">
      <alignment vertical="center"/>
    </xf>
    <xf numFmtId="44" fontId="22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/>
    </xf>
    <xf numFmtId="0" fontId="10" fillId="7" borderId="9" xfId="0" applyFont="1" applyFill="1" applyBorder="1"/>
    <xf numFmtId="0" fontId="10" fillId="7" borderId="5" xfId="0" applyFont="1" applyFill="1" applyBorder="1"/>
    <xf numFmtId="0" fontId="5" fillId="4" borderId="4" xfId="0" applyFont="1" applyFill="1" applyBorder="1"/>
    <xf numFmtId="44" fontId="6" fillId="0" borderId="1" xfId="1" applyFont="1" applyFill="1" applyBorder="1" applyAlignment="1" applyProtection="1">
      <alignment horizontal="right" vertical="center"/>
    </xf>
    <xf numFmtId="165" fontId="6" fillId="3" borderId="1" xfId="2" applyNumberFormat="1" applyFont="1" applyFill="1" applyBorder="1" applyAlignment="1">
      <alignment horizontal="center"/>
    </xf>
    <xf numFmtId="165" fontId="10" fillId="7" borderId="1" xfId="2" applyNumberFormat="1" applyFont="1" applyFill="1" applyBorder="1" applyAlignment="1">
      <alignment horizontal="center"/>
    </xf>
    <xf numFmtId="166" fontId="10" fillId="7" borderId="1" xfId="0" applyNumberFormat="1" applyFont="1" applyFill="1" applyBorder="1" applyAlignment="1">
      <alignment horizontal="center"/>
    </xf>
    <xf numFmtId="165" fontId="10" fillId="7" borderId="1" xfId="2" applyNumberFormat="1" applyFont="1" applyFill="1" applyBorder="1" applyAlignment="1">
      <alignment horizontal="center" vertical="center"/>
    </xf>
    <xf numFmtId="2" fontId="11" fillId="7" borderId="1" xfId="0" applyNumberFormat="1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/>
    </xf>
    <xf numFmtId="171" fontId="21" fillId="15" borderId="1" xfId="0" applyNumberFormat="1" applyFont="1" applyFill="1" applyBorder="1" applyAlignment="1">
      <alignment horizontal="center"/>
    </xf>
    <xf numFmtId="6" fontId="21" fillId="14" borderId="1" xfId="0" applyNumberFormat="1" applyFont="1" applyFill="1" applyBorder="1" applyAlignment="1">
      <alignment horizontal="center"/>
    </xf>
    <xf numFmtId="0" fontId="26" fillId="16" borderId="0" xfId="0" applyFont="1" applyFill="1"/>
    <xf numFmtId="0" fontId="27" fillId="0" borderId="0" xfId="0" applyFont="1"/>
    <xf numFmtId="0" fontId="28" fillId="0" borderId="0" xfId="0" applyFont="1"/>
    <xf numFmtId="14" fontId="29" fillId="2" borderId="0" xfId="0" applyNumberFormat="1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0" fontId="6" fillId="0" borderId="1" xfId="0" applyFont="1" applyBorder="1" applyAlignment="1" applyProtection="1">
      <alignment horizontal="left" vertical="top" wrapText="1"/>
      <protection locked="0"/>
    </xf>
    <xf numFmtId="164" fontId="10" fillId="7" borderId="1" xfId="1" applyNumberFormat="1" applyFont="1" applyFill="1" applyBorder="1" applyAlignment="1">
      <alignment horizontal="center" vertical="center"/>
    </xf>
    <xf numFmtId="0" fontId="31" fillId="0" borderId="0" xfId="0" pivotButton="1" applyFont="1"/>
    <xf numFmtId="0" fontId="31" fillId="0" borderId="0" xfId="0" applyFont="1"/>
    <xf numFmtId="0" fontId="31" fillId="0" borderId="0" xfId="0" applyFont="1" applyAlignment="1">
      <alignment horizontal="left"/>
    </xf>
    <xf numFmtId="44" fontId="31" fillId="0" borderId="0" xfId="0" applyNumberFormat="1" applyFont="1"/>
    <xf numFmtId="0" fontId="31" fillId="0" borderId="1" xfId="0" pivotButton="1" applyFont="1" applyBorder="1"/>
    <xf numFmtId="0" fontId="31" fillId="0" borderId="2" xfId="0" applyFont="1" applyBorder="1"/>
    <xf numFmtId="0" fontId="31" fillId="0" borderId="3" xfId="0" applyFont="1" applyBorder="1"/>
    <xf numFmtId="0" fontId="21" fillId="13" borderId="1" xfId="0" applyFont="1" applyFill="1" applyBorder="1" applyAlignment="1">
      <alignment horizontal="center"/>
    </xf>
    <xf numFmtId="166" fontId="14" fillId="5" borderId="18" xfId="0" applyNumberFormat="1" applyFont="1" applyFill="1" applyBorder="1" applyAlignment="1">
      <alignment horizontal="center"/>
    </xf>
    <xf numFmtId="166" fontId="14" fillId="5" borderId="19" xfId="0" applyNumberFormat="1" applyFont="1" applyFill="1" applyBorder="1" applyAlignment="1">
      <alignment horizontal="center"/>
    </xf>
    <xf numFmtId="166" fontId="14" fillId="5" borderId="20" xfId="0" applyNumberFormat="1" applyFont="1" applyFill="1" applyBorder="1" applyAlignment="1">
      <alignment horizontal="center"/>
    </xf>
    <xf numFmtId="0" fontId="31" fillId="0" borderId="0" xfId="0" applyNumberFormat="1" applyFont="1"/>
    <xf numFmtId="0" fontId="21" fillId="13" borderId="1" xfId="0" applyFont="1" applyFill="1" applyBorder="1" applyAlignment="1"/>
  </cellXfs>
  <cellStyles count="4">
    <cellStyle name="Milliers" xfId="3" builtinId="3"/>
    <cellStyle name="Monétaire" xfId="1" builtinId="4"/>
    <cellStyle name="Normal" xfId="0" builtinId="0"/>
    <cellStyle name="Pourcentage" xfId="2" builtinId="5"/>
  </cellStyles>
  <dxfs count="47">
    <dxf>
      <font>
        <color theme="0"/>
      </font>
      <fill>
        <patternFill>
          <bgColor theme="0" tint="-0.499984740745262"/>
        </patternFill>
      </fill>
    </dxf>
    <dxf>
      <font>
        <color rgb="FF92D050"/>
      </font>
    </dxf>
    <dxf>
      <font>
        <color rgb="FFFFC000"/>
      </font>
    </dxf>
    <dxf>
      <fill>
        <patternFill>
          <bgColor theme="0" tint="-4.9989318521683403E-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rgb="FFDFC9EF"/>
        </patternFill>
      </fill>
    </dxf>
    <dxf>
      <fill>
        <patternFill>
          <bgColor rgb="FFFF99CC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rgb="FFDFC9EF"/>
        </patternFill>
      </fill>
    </dxf>
    <dxf>
      <fill>
        <patternFill>
          <bgColor rgb="FFFF99CC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4" formatCode="_-* #,##0.00\ &quot;€&quot;_-;\-* #,##0.00\ &quot;€&quot;_-;_-* &quot;-&quot;??\ &quot;€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4" formatCode="_-* #,##0.00\ &quot;€&quot;_-;\-* #,##0.00\ &quot;€&quot;_-;_-* &quot;-&quot;??\ &quot;€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5DD65"/>
      <color rgb="FFFF99CC"/>
      <color rgb="FFFF6699"/>
      <color rgb="FFDFC9EF"/>
      <color rgb="FFC59EE2"/>
      <color rgb="FF99FF99"/>
      <color rgb="FF305496"/>
      <color rgb="FF66FF33"/>
      <color rgb="FFFA96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G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5</xdr:row>
      <xdr:rowOff>57150</xdr:rowOff>
    </xdr:from>
    <xdr:to>
      <xdr:col>15</xdr:col>
      <xdr:colOff>528638</xdr:colOff>
      <xdr:row>17</xdr:row>
      <xdr:rowOff>19050</xdr:rowOff>
    </xdr:to>
    <xdr:sp macro="" textlink="" fLocksText="0">
      <xdr:nvSpPr>
        <xdr:cNvPr id="2" name="ZoneText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296150" y="1509713"/>
          <a:ext cx="4695826" cy="2476500"/>
        </a:xfrm>
        <a:prstGeom prst="rect">
          <a:avLst/>
        </a:prstGeom>
        <a:solidFill>
          <a:srgbClr val="99FF99">
            <a:alpha val="74000"/>
          </a:srgbClr>
        </a:solidFill>
        <a:ln>
          <a:solidFill>
            <a:schemeClr val="tx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Commentaires :</a:t>
          </a:r>
        </a:p>
        <a:p>
          <a:endParaRPr lang="fr-FR" sz="900" b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fr-FR" sz="900" b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 fLocksWithSheet="0"/>
  </xdr:twoCellAnchor>
  <xdr:twoCellAnchor editAs="oneCell">
    <xdr:from>
      <xdr:col>0</xdr:col>
      <xdr:colOff>28575</xdr:colOff>
      <xdr:row>0</xdr:row>
      <xdr:rowOff>33337</xdr:rowOff>
    </xdr:from>
    <xdr:to>
      <xdr:col>1</xdr:col>
      <xdr:colOff>2095500</xdr:colOff>
      <xdr:row>0</xdr:row>
      <xdr:rowOff>533399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33337"/>
          <a:ext cx="2490788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476250</xdr:colOff>
      <xdr:row>1</xdr:row>
      <xdr:rowOff>85725</xdr:rowOff>
    </xdr:from>
    <xdr:to>
      <xdr:col>14</xdr:col>
      <xdr:colOff>500063</xdr:colOff>
      <xdr:row>4</xdr:row>
      <xdr:rowOff>9525</xdr:rowOff>
    </xdr:to>
    <xdr:sp macro="" textlink="">
      <xdr:nvSpPr>
        <xdr:cNvPr id="3" name="Légende encadrée 2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0134600" y="781050"/>
          <a:ext cx="1595438" cy="43815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39745"/>
            <a:gd name="adj6" fmla="val -29964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Mettre</a:t>
          </a:r>
          <a:r>
            <a:rPr lang="fr-FR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à jour les données des tableaux dynamiques</a:t>
          </a:r>
          <a:endParaRPr lang="fr-FR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5</xdr:col>
      <xdr:colOff>571499</xdr:colOff>
      <xdr:row>0</xdr:row>
      <xdr:rowOff>81915</xdr:rowOff>
    </xdr:from>
    <xdr:to>
      <xdr:col>11</xdr:col>
      <xdr:colOff>195262</xdr:colOff>
      <xdr:row>0</xdr:row>
      <xdr:rowOff>381000</xdr:rowOff>
    </xdr:to>
    <xdr:sp macro="" textlink="">
      <xdr:nvSpPr>
        <xdr:cNvPr id="5" name="Légende encadrée 2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605337" y="81915"/>
          <a:ext cx="4319588" cy="29908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75606"/>
            <a:gd name="adj6" fmla="val -27898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Montant à facturer au client (jours</a:t>
          </a:r>
          <a:r>
            <a:rPr lang="fr-FR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valorisés + </a:t>
          </a:r>
          <a:r>
            <a:rPr lang="fr-FR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Achat/Revente + frais refacturés)</a:t>
          </a:r>
        </a:p>
      </xdr:txBody>
    </xdr:sp>
    <xdr:clientData/>
  </xdr:twoCellAnchor>
  <xdr:twoCellAnchor>
    <xdr:from>
      <xdr:col>5</xdr:col>
      <xdr:colOff>600075</xdr:colOff>
      <xdr:row>14</xdr:row>
      <xdr:rowOff>205740</xdr:rowOff>
    </xdr:from>
    <xdr:to>
      <xdr:col>8</xdr:col>
      <xdr:colOff>61912</xdr:colOff>
      <xdr:row>18</xdr:row>
      <xdr:rowOff>28575</xdr:rowOff>
    </xdr:to>
    <xdr:sp macro="" textlink="">
      <xdr:nvSpPr>
        <xdr:cNvPr id="7" name="Légende encadrée 2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4624388" y="3253740"/>
          <a:ext cx="1671637" cy="661035"/>
        </a:xfrm>
        <a:prstGeom prst="borderCallout2">
          <a:avLst>
            <a:gd name="adj1" fmla="val 18750"/>
            <a:gd name="adj2" fmla="val -8333"/>
            <a:gd name="adj3" fmla="val 12360"/>
            <a:gd name="adj4" fmla="val -12854"/>
            <a:gd name="adj5" fmla="val 11345"/>
            <a:gd name="adj6" fmla="val -39723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9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Prendre en compte </a:t>
          </a:r>
          <a:r>
            <a:rPr lang="fr-FR" sz="9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tous les frais de déplacement </a:t>
          </a:r>
          <a:r>
            <a:rPr lang="fr-FR" sz="9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pour Exakis Nelite</a:t>
          </a:r>
          <a:endParaRPr lang="fr-FR" sz="900" b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</xdr:colOff>
          <xdr:row>4</xdr:row>
          <xdr:rowOff>146050</xdr:rowOff>
        </xdr:from>
        <xdr:to>
          <xdr:col>4</xdr:col>
          <xdr:colOff>76200</xdr:colOff>
          <xdr:row>12</xdr:row>
          <xdr:rowOff>76200</xdr:rowOff>
        </xdr:to>
        <xdr:sp macro="" textlink="">
          <xdr:nvSpPr>
            <xdr:cNvPr id="8194" name="Group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1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36576" tIns="32004" rIns="0" bIns="0" anchor="t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Prestation RH uniquement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</xdr:colOff>
          <xdr:row>13</xdr:row>
          <xdr:rowOff>222250</xdr:rowOff>
        </xdr:from>
        <xdr:to>
          <xdr:col>4</xdr:col>
          <xdr:colOff>76200</xdr:colOff>
          <xdr:row>30</xdr:row>
          <xdr:rowOff>69850</xdr:rowOff>
        </xdr:to>
        <xdr:sp macro="" textlink="">
          <xdr:nvSpPr>
            <xdr:cNvPr id="8195" name="Group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1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36576" tIns="32004" rIns="0" bIns="0" anchor="t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Vision globale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581025</xdr:colOff>
      <xdr:row>20</xdr:row>
      <xdr:rowOff>24763</xdr:rowOff>
    </xdr:from>
    <xdr:to>
      <xdr:col>8</xdr:col>
      <xdr:colOff>61912</xdr:colOff>
      <xdr:row>24</xdr:row>
      <xdr:rowOff>28574</xdr:rowOff>
    </xdr:to>
    <xdr:sp macro="" textlink="">
      <xdr:nvSpPr>
        <xdr:cNvPr id="14" name="Légende encadrée 2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4614863" y="4015738"/>
          <a:ext cx="1538287" cy="84201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17362"/>
            <a:gd name="adj6" fmla="val -34597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 provision pour risque est saisi</a:t>
          </a:r>
          <a:r>
            <a:rPr lang="fr-FR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 dans l'onglet WORKLOAD avec:</a:t>
          </a:r>
        </a:p>
        <a:p>
          <a:pPr algn="l"/>
          <a:r>
            <a:rPr lang="fr-FR" sz="9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phase égale à </a:t>
          </a:r>
          <a:r>
            <a:rPr lang="fr-FR" sz="9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PROVISION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30</xdr:row>
          <xdr:rowOff>209550</xdr:rowOff>
        </xdr:from>
        <xdr:to>
          <xdr:col>4</xdr:col>
          <xdr:colOff>95250</xdr:colOff>
          <xdr:row>69</xdr:row>
          <xdr:rowOff>107950</xdr:rowOff>
        </xdr:to>
        <xdr:sp macro="" textlink="">
          <xdr:nvSpPr>
            <xdr:cNvPr id="8197" name="Group Box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1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36576" tIns="32004" rIns="0" bIns="0" anchor="t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Analyse des marges par Entité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1</xdr:row>
      <xdr:rowOff>119063</xdr:rowOff>
    </xdr:from>
    <xdr:to>
      <xdr:col>9</xdr:col>
      <xdr:colOff>514351</xdr:colOff>
      <xdr:row>3</xdr:row>
      <xdr:rowOff>171451</xdr:rowOff>
    </xdr:to>
    <xdr:sp macro="" textlink="">
      <xdr:nvSpPr>
        <xdr:cNvPr id="5" name="Légende encadrée 2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215063" y="814388"/>
          <a:ext cx="1824038" cy="557213"/>
        </a:xfrm>
        <a:prstGeom prst="borderCallout2">
          <a:avLst>
            <a:gd name="adj1" fmla="val 18750"/>
            <a:gd name="adj2" fmla="val -8333"/>
            <a:gd name="adj3" fmla="val 36309"/>
            <a:gd name="adj4" fmla="val -17609"/>
            <a:gd name="adj5" fmla="val 109423"/>
            <a:gd name="adj6" fmla="val -31952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Indiquer</a:t>
          </a:r>
          <a:r>
            <a:rPr lang="fr-F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le montant global </a:t>
          </a:r>
        </a:p>
        <a:p>
          <a:pPr algn="l"/>
          <a:r>
            <a:rPr lang="fr-F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des frais en cas de cession</a:t>
          </a:r>
          <a:endParaRPr lang="fr-FR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14</xdr:col>
      <xdr:colOff>747715</xdr:colOff>
      <xdr:row>1</xdr:row>
      <xdr:rowOff>123824</xdr:rowOff>
    </xdr:from>
    <xdr:to>
      <xdr:col>16</xdr:col>
      <xdr:colOff>23813</xdr:colOff>
      <xdr:row>3</xdr:row>
      <xdr:rowOff>180974</xdr:rowOff>
    </xdr:to>
    <xdr:sp macro="" textlink="">
      <xdr:nvSpPr>
        <xdr:cNvPr id="6" name="Légende encadrée 2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2549190" y="819149"/>
          <a:ext cx="847723" cy="56197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05715"/>
            <a:gd name="adj6" fmla="val -47969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Prends en compte le TCI/PRCS</a:t>
          </a:r>
        </a:p>
      </xdr:txBody>
    </xdr:sp>
    <xdr:clientData/>
  </xdr:twoCellAnchor>
  <xdr:twoCellAnchor>
    <xdr:from>
      <xdr:col>2</xdr:col>
      <xdr:colOff>490537</xdr:colOff>
      <xdr:row>1</xdr:row>
      <xdr:rowOff>38099</xdr:rowOff>
    </xdr:from>
    <xdr:to>
      <xdr:col>6</xdr:col>
      <xdr:colOff>53340</xdr:colOff>
      <xdr:row>3</xdr:row>
      <xdr:rowOff>247649</xdr:rowOff>
    </xdr:to>
    <xdr:sp macro="" textlink="">
      <xdr:nvSpPr>
        <xdr:cNvPr id="7" name="Légende encadrée 2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3424237" y="457199"/>
          <a:ext cx="2382203" cy="712470"/>
        </a:xfrm>
        <a:prstGeom prst="borderCallout2">
          <a:avLst>
            <a:gd name="adj1" fmla="val 46336"/>
            <a:gd name="adj2" fmla="val -2750"/>
            <a:gd name="adj3" fmla="val 48197"/>
            <a:gd name="adj4" fmla="val -8396"/>
            <a:gd name="adj5" fmla="val 101128"/>
            <a:gd name="adj6" fmla="val -8735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8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FO: Ressource GSO quelque soit l'agence</a:t>
          </a:r>
        </a:p>
        <a:p>
          <a:pPr algn="l"/>
          <a:r>
            <a:rPr lang="fr-FR" sz="8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BO: Ressource CSV</a:t>
          </a:r>
        </a:p>
        <a:p>
          <a:pPr algn="l"/>
          <a:r>
            <a:rPr lang="fr-FR" sz="8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CESSION: Ressource Exakis </a:t>
          </a:r>
          <a:r>
            <a:rPr lang="fr-FR" sz="8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dont ESC @ 690</a:t>
          </a:r>
        </a:p>
        <a:p>
          <a:pPr algn="l"/>
          <a:r>
            <a:rPr lang="fr-FR" sz="8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ACHAT: Ressource Externe </a:t>
          </a:r>
          <a:br>
            <a:rPr lang="fr-FR" sz="8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</a:br>
          <a:r>
            <a:rPr lang="fr-FR" sz="8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ACHAT BO : Ress Externe du BO </a:t>
          </a:r>
        </a:p>
        <a:p>
          <a:pPr algn="l"/>
          <a:r>
            <a:rPr lang="fr-FR" sz="8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fr-FR" sz="8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184150</xdr:colOff>
          <xdr:row>0</xdr:row>
          <xdr:rowOff>95250</xdr:rowOff>
        </xdr:from>
        <xdr:to>
          <xdr:col>3</xdr:col>
          <xdr:colOff>1847850</xdr:colOff>
          <xdr:row>0</xdr:row>
          <xdr:rowOff>393700</xdr:rowOff>
        </xdr:to>
        <xdr:sp macro="" textlink="">
          <xdr:nvSpPr>
            <xdr:cNvPr id="3077" name="CommandButton1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0</xdr:row>
          <xdr:rowOff>76200</xdr:rowOff>
        </xdr:from>
        <xdr:to>
          <xdr:col>4</xdr:col>
          <xdr:colOff>1689100</xdr:colOff>
          <xdr:row>0</xdr:row>
          <xdr:rowOff>374650</xdr:rowOff>
        </xdr:to>
        <xdr:sp macro="" textlink="">
          <xdr:nvSpPr>
            <xdr:cNvPr id="3078" name="CommandButton2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5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142875</xdr:rowOff>
    </xdr:from>
    <xdr:to>
      <xdr:col>9</xdr:col>
      <xdr:colOff>38100</xdr:colOff>
      <xdr:row>15</xdr:row>
      <xdr:rowOff>19050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04775" y="142875"/>
          <a:ext cx="7477125" cy="3019425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rgbClr val="002060"/>
              </a:solidFill>
            </a:rPr>
            <a:t>Historique des versions :</a:t>
          </a:r>
        </a:p>
        <a:p>
          <a:endParaRPr lang="fr-FR" sz="1100"/>
        </a:p>
        <a:p>
          <a:r>
            <a:rPr lang="fr-FR" sz="1100"/>
            <a:t>- 22/09/16 : 1ère version issue du COCODA dev pour FY17 </a:t>
          </a:r>
          <a:endParaRPr lang="fr-FR" sz="1100" baseline="0"/>
        </a:p>
        <a:p>
          <a:r>
            <a:rPr lang="fr-FR" sz="1100"/>
            <a:t>- 04/06/19</a:t>
          </a:r>
          <a:r>
            <a:rPr lang="fr-FR" sz="1100" baseline="0"/>
            <a:t> : 2ème version intégrant les données du TSP</a:t>
          </a:r>
        </a:p>
        <a:p>
          <a:r>
            <a:rPr lang="fr-FR" sz="1100" baseline="0"/>
            <a:t>- 18/11/19 : version officielle FY20</a:t>
          </a:r>
        </a:p>
        <a:p>
          <a:r>
            <a:rPr lang="fr-FR" sz="1100" baseline="0"/>
            <a:t>- 10/01/20 : V1 mise à jour pour intégration compléments ETAPE, TYPE ACHAT, AGENCE</a:t>
          </a:r>
        </a:p>
        <a:p>
          <a:r>
            <a:rPr lang="fr-FR" sz="1100" baseline="0"/>
            <a:t>- 29/01/20 : V S2 2020 - mise à jour REF + nouvelles organisation et postes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- 19/04/22 : V1 2022 - mise à jour CJM &amp; TJM</a:t>
          </a:r>
          <a:endParaRPr lang="en-US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- 29/11/22 : V1 2023 - mise à jour CJM &amp; TJM</a:t>
          </a:r>
          <a:endParaRPr lang="en-US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- 02/12/22 : V2 2023 - Corretion PRCS à 435 et calendrier</a:t>
          </a:r>
          <a:endParaRPr lang="en-US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- 22/01/24 : V1 2024 - Corretion PRCS 450, CJM &amp; calendrier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xakis.sharepoint.com/sites/Intranet/SiteBiarritz/Documents%20partages/TEMPLATES%20DOCUMENTS/EXEMPLES/Exemple%20de%20chiffrage%20FY20%20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E PROJET"/>
      <sheetName val="SYNTHESE"/>
      <sheetName val="PROFIL"/>
      <sheetName val="WORKLOAD"/>
      <sheetName val="FRAIS"/>
      <sheetName val="ACHAT"/>
      <sheetName val="PLANNING"/>
      <sheetName val="ECHEANCIER"/>
      <sheetName val="METRIQUE"/>
      <sheetName val="VENTILATION CHARGE"/>
      <sheetName val="REF"/>
      <sheetName val="VERSIO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268.622264699072" createdVersion="5" refreshedVersion="8" minRefreshableVersion="3" recordCount="91" xr:uid="{00000000-000A-0000-FFFF-FFFF00000000}">
  <cacheSource type="worksheet">
    <worksheetSource ref="A4:W95" sheet="WORKLOAD"/>
  </cacheSource>
  <cacheFields count="23">
    <cacheField name="ID" numFmtId="49">
      <sharedItems containsBlank="1"/>
    </cacheField>
    <cacheField name="Lot" numFmtId="0">
      <sharedItems containsBlank="1" containsMixedTypes="1" containsNumber="1" containsInteger="1" minValue="0" maxValue="7" count="13">
        <s v="Gouvernance"/>
        <m/>
        <s v="Tech"/>
        <s v="Change"/>
        <s v="Risques"/>
        <n v="0" u="1"/>
        <n v="1" u="1"/>
        <n v="2" u="1"/>
        <n v="3" u="1"/>
        <n v="4" u="1"/>
        <n v="5" u="1"/>
        <n v="6" u="1"/>
        <n v="7" u="1"/>
      </sharedItems>
    </cacheField>
    <cacheField name="Phase" numFmtId="0">
      <sharedItems containsBlank="1" count="18">
        <s v="PILOTAGE"/>
        <m/>
        <s v="CONCEPTION"/>
        <s v="CONSTRUCTION"/>
        <s v="VALIDATION"/>
        <s v="FINALISATION"/>
        <s v="PROVISION"/>
        <s v="GARANTIE" u="1"/>
        <s v="TMA" u="1"/>
        <s v="TRANSVERSE" u="1"/>
        <s v="MAINTENANCE (4 ans)" u="1"/>
        <s v="MAINTENANCE (1 ans)/SUPPORT" u="1"/>
        <s v="MAINTENANCE (4 ans)/SUPPORT" u="1"/>
        <s v="INITIALISATION" u="1"/>
        <s v="INSTALLATION AZURE" u="1"/>
        <s v="CADRAGE" u="1"/>
        <s v="EXPLOITATION (1 an)" u="1"/>
        <s v="EXPLOITATION" u="1"/>
      </sharedItems>
    </cacheField>
    <cacheField name="Etape" numFmtId="0">
      <sharedItems containsBlank="1" count="32">
        <s v="Pilotage projet"/>
        <m/>
        <s v="Analyse de l’existant"/>
        <s v="Conception Générale"/>
        <s v="Conception fonctionnelle détaillée"/>
        <s v="Développement et tests unitaires"/>
        <s v="Tests d’intégration / Recette interne"/>
        <s v="Livraison / installation / Mise en œuvre"/>
        <s v="Support"/>
        <s v="Formation"/>
        <s v="Provision pour risque"/>
        <s v="Provision pour risque " u="1"/>
        <s v="Tests d'intégration / Recette interne" u="1"/>
        <s v="Conception technique détaillée" u="1"/>
        <s v="Cahier de recette" u="1"/>
        <s v="Ergonomie/Graphisme" u="1"/>
        <s v="Pilote" u="1"/>
        <s v="Assistance recette " u="1"/>
        <s v="Hors abaques" u="1"/>
        <s v="Garantie (suite recette - 3 mois)" u="1"/>
        <s v="Tests d'intégration" u="1"/>
        <s v="Plan de test / dossier de recette" u="1"/>
        <s v="Installation Azure " u="1"/>
        <s v="Recette interne" u="1"/>
        <s v="Formation des utilisateurs" u="1"/>
        <s v="Reprise de contenu" u="1"/>
        <s v="Exploitation Azure " u="1"/>
        <s v="Livraison / installation (doc incluse)" u="1"/>
        <s v="Conception technique" u="1"/>
        <s v="Maintenance" u="1"/>
        <s v="Livraison / installation" u="1"/>
        <s v="Pilotage projet (doc incluse)" u="1"/>
      </sharedItems>
    </cacheField>
    <cacheField name="Tâche" numFmtId="0">
      <sharedItems containsBlank="1"/>
    </cacheField>
    <cacheField name="TOTAL Charge" numFmtId="0">
      <sharedItems containsMixedTypes="1" containsNumber="1" minValue="0.5" maxValue="20"/>
    </cacheField>
    <cacheField name="TOTAL_x000a_Valorisation" numFmtId="0">
      <sharedItems containsMixedTypes="1" containsNumber="1" containsInteger="1" minValue="350" maxValue="14500"/>
    </cacheField>
    <cacheField name="Chef de Projet" numFmtId="0">
      <sharedItems containsString="0" containsBlank="1" containsNumber="1" minValue="0.5" maxValue="7"/>
    </cacheField>
    <cacheField name="Architecte" numFmtId="0">
      <sharedItems containsString="0" containsBlank="1" containsNumber="1" minValue="0.5" maxValue="2"/>
    </cacheField>
    <cacheField name="Consultant Technique" numFmtId="0">
      <sharedItems containsString="0" containsBlank="1" containsNumber="1" minValue="0.5" maxValue="10"/>
    </cacheField>
    <cacheField name="Consultant Change" numFmtId="0">
      <sharedItems containsString="0" containsBlank="1" containsNumber="1" minValue="0.5" maxValue="10"/>
    </cacheField>
    <cacheField name="Consultant Data" numFmtId="0">
      <sharedItems containsString="0" containsBlank="1" containsNumber="1" containsInteger="1" minValue="5" maxValue="5"/>
    </cacheField>
    <cacheField name="0" numFmtId="0">
      <sharedItems containsNonDate="0" containsString="0" containsBlank="1"/>
    </cacheField>
    <cacheField name="02" numFmtId="0">
      <sharedItems containsNonDate="0" containsString="0" containsBlank="1"/>
    </cacheField>
    <cacheField name="Chef de Projet2" numFmtId="0">
      <sharedItems containsString="0" containsBlank="1" containsNumber="1" containsInteger="1" minValue="0" maxValue="5250"/>
    </cacheField>
    <cacheField name="Architecte2" numFmtId="0">
      <sharedItems containsString="0" containsBlank="1" containsNumber="1" containsInteger="1" minValue="0" maxValue="1700"/>
    </cacheField>
    <cacheField name="Consultant Technique2" numFmtId="0">
      <sharedItems containsString="0" containsBlank="1" containsNumber="1" containsInteger="1" minValue="0" maxValue="7500"/>
    </cacheField>
    <cacheField name="Consultant Change2" numFmtId="0">
      <sharedItems containsString="0" containsBlank="1" containsNumber="1" containsInteger="1" minValue="0" maxValue="7000"/>
    </cacheField>
    <cacheField name="Consultant Data2" numFmtId="0">
      <sharedItems containsString="0" containsBlank="1" containsNumber="1" containsInteger="1" minValue="0" maxValue="4000"/>
    </cacheField>
    <cacheField name="03" numFmtId="0">
      <sharedItems containsString="0" containsBlank="1" containsNumber="1" containsInteger="1" minValue="0" maxValue="0"/>
    </cacheField>
    <cacheField name="04" numFmtId="0">
      <sharedItems containsString="0" containsBlank="1" containsNumber="1" containsInteger="1" minValue="0" maxValue="0"/>
    </cacheField>
    <cacheField name="Livrable" numFmtId="0">
      <sharedItems containsBlank="1"/>
    </cacheField>
    <cacheField name="Hypothèses/Commentair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1"/>
    <x v="0"/>
    <x v="0"/>
    <x v="0"/>
    <s v="Kick-off projet et cadrage initial"/>
    <n v="1.5"/>
    <n v="1175"/>
    <n v="1"/>
    <n v="0.5"/>
    <m/>
    <m/>
    <m/>
    <m/>
    <m/>
    <n v="750"/>
    <n v="425"/>
    <n v="0"/>
    <n v="0"/>
    <n v="0"/>
    <n v="0"/>
    <n v="0"/>
    <s v="oui"/>
    <s v="Réunion de lancement formelle"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s v="1"/>
    <x v="0"/>
    <x v="0"/>
    <x v="0"/>
    <s v="Suivi hebdomadaire projet"/>
    <n v="2"/>
    <n v="1500"/>
    <n v="2"/>
    <m/>
    <m/>
    <m/>
    <m/>
    <m/>
    <m/>
    <n v="1500"/>
    <n v="0"/>
    <n v="0"/>
    <n v="0"/>
    <n v="0"/>
    <n v="0"/>
    <n v="0"/>
    <s v="non"/>
    <s v="COMOP"/>
  </r>
  <r>
    <s v="1"/>
    <x v="0"/>
    <x v="0"/>
    <x v="0"/>
    <s v="COPIL mensuels et reporting"/>
    <n v="3"/>
    <n v="2200"/>
    <n v="2"/>
    <m/>
    <m/>
    <n v="1"/>
    <m/>
    <m/>
    <m/>
    <n v="1500"/>
    <n v="0"/>
    <n v="0"/>
    <n v="700"/>
    <n v="0"/>
    <n v="0"/>
    <n v="0"/>
    <s v="non"/>
    <s v="Pilotage décisionnel"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s v="2"/>
    <x v="2"/>
    <x v="0"/>
    <x v="0"/>
    <s v="Pilotage Tech"/>
    <n v="2"/>
    <n v="1500"/>
    <n v="2"/>
    <m/>
    <m/>
    <m/>
    <m/>
    <m/>
    <m/>
    <n v="1500"/>
    <n v="0"/>
    <n v="0"/>
    <n v="0"/>
    <n v="0"/>
    <n v="0"/>
    <n v="0"/>
    <m/>
    <m/>
  </r>
  <r>
    <s v="2"/>
    <x v="2"/>
    <x v="2"/>
    <x v="2"/>
    <s v="Analyse tenant Entra ID"/>
    <n v="1"/>
    <n v="850"/>
    <m/>
    <n v="1"/>
    <m/>
    <m/>
    <m/>
    <m/>
    <m/>
    <n v="0"/>
    <n v="850"/>
    <n v="0"/>
    <n v="0"/>
    <n v="0"/>
    <n v="0"/>
    <n v="0"/>
    <s v="oui"/>
    <s v="Contraintes existantes"/>
  </r>
  <r>
    <s v="2"/>
    <x v="2"/>
    <x v="2"/>
    <x v="2"/>
    <s v="Analyse Intune / WHfB existant"/>
    <n v="1"/>
    <n v="850"/>
    <m/>
    <n v="1"/>
    <m/>
    <m/>
    <m/>
    <m/>
    <m/>
    <n v="0"/>
    <n v="850"/>
    <n v="0"/>
    <n v="0"/>
    <n v="0"/>
    <n v="0"/>
    <n v="0"/>
    <s v="oui"/>
    <s v="Basé POC"/>
  </r>
  <r>
    <s v="2"/>
    <x v="2"/>
    <x v="2"/>
    <x v="2"/>
    <s v="Analyse VPN F5 &amp; PingAM"/>
    <n v="1"/>
    <n v="850"/>
    <m/>
    <n v="1"/>
    <m/>
    <m/>
    <m/>
    <m/>
    <m/>
    <n v="0"/>
    <n v="850"/>
    <n v="0"/>
    <n v="0"/>
    <n v="0"/>
    <n v="0"/>
    <n v="0"/>
    <s v="oui"/>
    <s v="Dépendances critiques"/>
  </r>
  <r>
    <s v="3"/>
    <x v="2"/>
    <x v="2"/>
    <x v="3"/>
    <s v="Définition architecture cible globale"/>
    <s v="-"/>
    <s v="-"/>
    <m/>
    <m/>
    <m/>
    <m/>
    <m/>
    <m/>
    <m/>
    <n v="0"/>
    <n v="0"/>
    <n v="0"/>
    <n v="0"/>
    <n v="0"/>
    <n v="0"/>
    <n v="0"/>
    <s v="oui"/>
    <s v="Implémentation déja réalisée"/>
  </r>
  <r>
    <s v="3"/>
    <x v="2"/>
    <x v="2"/>
    <x v="3"/>
    <s v="Définition scénarios d’usage"/>
    <n v="1.5"/>
    <n v="1225"/>
    <m/>
    <n v="1"/>
    <n v="0.5"/>
    <m/>
    <m/>
    <m/>
    <m/>
    <n v="0"/>
    <n v="850"/>
    <n v="375"/>
    <n v="0"/>
    <n v="0"/>
    <n v="0"/>
    <n v="0"/>
    <s v="oui"/>
    <s v="Nominal / fallback"/>
  </r>
  <r>
    <s v="3"/>
    <x v="2"/>
    <x v="2"/>
    <x v="4"/>
    <s v="Conception accès conditionnel"/>
    <n v="2.5"/>
    <n v="2075"/>
    <m/>
    <n v="2"/>
    <n v="0.5"/>
    <m/>
    <m/>
    <m/>
    <m/>
    <n v="0"/>
    <n v="1700"/>
    <n v="375"/>
    <n v="0"/>
    <n v="0"/>
    <n v="0"/>
    <n v="0"/>
    <s v="oui"/>
    <s v="Point dur du projet"/>
  </r>
  <r>
    <s v="3"/>
    <x v="2"/>
    <x v="2"/>
    <x v="4"/>
    <s v="Gestion des cas dégradés"/>
    <n v="1.5"/>
    <n v="1225"/>
    <m/>
    <n v="1"/>
    <n v="0.5"/>
    <m/>
    <m/>
    <m/>
    <m/>
    <n v="0"/>
    <n v="850"/>
    <n v="375"/>
    <n v="0"/>
    <n v="0"/>
    <n v="0"/>
    <n v="0"/>
    <s v="oui"/>
    <s v="Sécurité + UX"/>
  </r>
  <r>
    <s v="2"/>
    <x v="2"/>
    <x v="0"/>
    <x v="0"/>
    <s v="Pilotage Tech"/>
    <n v="5"/>
    <n v="3750"/>
    <n v="5"/>
    <m/>
    <m/>
    <m/>
    <m/>
    <m/>
    <m/>
    <n v="3750"/>
    <n v="0"/>
    <n v="0"/>
    <n v="0"/>
    <n v="0"/>
    <n v="0"/>
    <n v="0"/>
    <m/>
    <m/>
  </r>
  <r>
    <s v="4"/>
    <x v="2"/>
    <x v="3"/>
    <x v="5"/>
    <s v="Configuration Entra ID"/>
    <s v="-"/>
    <s v="-"/>
    <m/>
    <m/>
    <m/>
    <m/>
    <m/>
    <m/>
    <m/>
    <n v="0"/>
    <n v="0"/>
    <n v="0"/>
    <n v="0"/>
    <n v="0"/>
    <n v="0"/>
    <n v="0"/>
    <s v="non"/>
    <m/>
  </r>
  <r>
    <s v="4"/>
    <x v="2"/>
    <x v="3"/>
    <x v="5"/>
    <s v="Configuration WHfB"/>
    <n v="1.5"/>
    <n v="1125"/>
    <m/>
    <m/>
    <n v="1.5"/>
    <m/>
    <m/>
    <m/>
    <m/>
    <n v="0"/>
    <n v="0"/>
    <n v="1125"/>
    <n v="0"/>
    <n v="0"/>
    <n v="0"/>
    <n v="0"/>
    <s v="non"/>
    <s v="Implémentation déja réalisée"/>
  </r>
  <r>
    <s v="4"/>
    <x v="2"/>
    <x v="3"/>
    <x v="5"/>
    <s v="Paramétrage accès conditionnel"/>
    <n v="4"/>
    <n v="3000"/>
    <m/>
    <m/>
    <n v="4"/>
    <m/>
    <m/>
    <m/>
    <m/>
    <n v="0"/>
    <n v="0"/>
    <n v="3000"/>
    <n v="0"/>
    <n v="0"/>
    <n v="0"/>
    <n v="0"/>
    <s v="non"/>
    <m/>
  </r>
  <r>
    <s v="4"/>
    <x v="2"/>
    <x v="3"/>
    <x v="5"/>
    <s v="Intégration VPN F5"/>
    <n v="1"/>
    <n v="750"/>
    <m/>
    <m/>
    <n v="1"/>
    <m/>
    <m/>
    <m/>
    <m/>
    <n v="0"/>
    <n v="0"/>
    <n v="750"/>
    <n v="0"/>
    <n v="0"/>
    <n v="0"/>
    <n v="0"/>
    <s v="non"/>
    <s v="Coordination F5"/>
  </r>
  <r>
    <s v="4"/>
    <x v="2"/>
    <x v="3"/>
    <x v="5"/>
    <s v="Intégration PingAM"/>
    <n v="1"/>
    <n v="750"/>
    <m/>
    <m/>
    <n v="1"/>
    <m/>
    <m/>
    <m/>
    <m/>
    <n v="0"/>
    <n v="0"/>
    <n v="750"/>
    <n v="0"/>
    <n v="0"/>
    <n v="0"/>
    <n v="0"/>
    <s v="non"/>
    <s v="Dépendance IDP"/>
  </r>
  <r>
    <s v="5"/>
    <x v="2"/>
    <x v="4"/>
    <x v="6"/>
    <s v="Tests &amp; Recette"/>
    <n v="1"/>
    <n v="750"/>
    <m/>
    <m/>
    <n v="1"/>
    <m/>
    <m/>
    <m/>
    <m/>
    <n v="0"/>
    <n v="0"/>
    <n v="750"/>
    <n v="0"/>
    <n v="0"/>
    <n v="0"/>
    <n v="0"/>
    <s v="oui"/>
    <s v="Cahier de Recette"/>
  </r>
  <r>
    <s v="5"/>
    <x v="2"/>
    <x v="4"/>
    <x v="6"/>
    <s v="Corrections et ajustements"/>
    <n v="1"/>
    <n v="750"/>
    <m/>
    <m/>
    <n v="1"/>
    <m/>
    <m/>
    <m/>
    <m/>
    <n v="0"/>
    <n v="0"/>
    <n v="750"/>
    <n v="0"/>
    <n v="0"/>
    <n v="0"/>
    <n v="0"/>
    <s v="non"/>
    <m/>
  </r>
  <r>
    <s v="6"/>
    <x v="2"/>
    <x v="4"/>
    <x v="7"/>
    <s v="Préparation phase pilote"/>
    <n v="2"/>
    <n v="1450"/>
    <m/>
    <m/>
    <n v="1"/>
    <n v="1"/>
    <m/>
    <m/>
    <m/>
    <n v="0"/>
    <n v="0"/>
    <n v="750"/>
    <n v="700"/>
    <n v="0"/>
    <n v="0"/>
    <n v="0"/>
    <s v="non"/>
    <m/>
  </r>
  <r>
    <s v="6"/>
    <x v="2"/>
    <x v="4"/>
    <x v="7"/>
    <s v="Accompagnement pilote"/>
    <n v="2"/>
    <n v="1450"/>
    <m/>
    <m/>
    <n v="1"/>
    <n v="1"/>
    <m/>
    <m/>
    <m/>
    <n v="0"/>
    <n v="0"/>
    <n v="750"/>
    <n v="700"/>
    <n v="0"/>
    <n v="0"/>
    <n v="0"/>
    <s v="non"/>
    <s v="Forte sollicitation"/>
  </r>
  <r>
    <s v="6"/>
    <x v="2"/>
    <x v="4"/>
    <x v="7"/>
    <s v="Ajustements post-pilote"/>
    <n v="2"/>
    <n v="1450"/>
    <m/>
    <m/>
    <n v="1"/>
    <n v="1"/>
    <m/>
    <m/>
    <m/>
    <n v="0"/>
    <n v="0"/>
    <n v="750"/>
    <n v="700"/>
    <n v="0"/>
    <n v="0"/>
    <n v="0"/>
    <s v="non"/>
    <m/>
  </r>
  <r>
    <s v="8"/>
    <x v="2"/>
    <x v="5"/>
    <x v="8"/>
    <s v="Rédaction DAT + DEX final"/>
    <n v="3"/>
    <n v="2450"/>
    <m/>
    <n v="2"/>
    <n v="1"/>
    <m/>
    <m/>
    <m/>
    <m/>
    <n v="0"/>
    <n v="1700"/>
    <n v="750"/>
    <n v="0"/>
    <n v="0"/>
    <n v="0"/>
    <n v="0"/>
    <s v="oui"/>
    <m/>
  </r>
  <r>
    <s v="8"/>
    <x v="2"/>
    <x v="5"/>
    <x v="8"/>
    <s v="Transfert de compétences"/>
    <n v="3"/>
    <n v="2200"/>
    <m/>
    <m/>
    <n v="2"/>
    <n v="1"/>
    <m/>
    <m/>
    <m/>
    <n v="0"/>
    <n v="0"/>
    <n v="1500"/>
    <n v="700"/>
    <n v="0"/>
    <n v="0"/>
    <n v="0"/>
    <s v="oui"/>
    <m/>
  </r>
  <r>
    <s v="7"/>
    <x v="3"/>
    <x v="0"/>
    <x v="0"/>
    <s v="Pilotage chantier Change hors Option"/>
    <n v="7"/>
    <n v="5250"/>
    <n v="7"/>
    <m/>
    <m/>
    <m/>
    <m/>
    <m/>
    <m/>
    <n v="5250"/>
    <n v="0"/>
    <n v="0"/>
    <n v="0"/>
    <n v="0"/>
    <n v="0"/>
    <n v="0"/>
    <s v="oui"/>
    <m/>
  </r>
  <r>
    <s v="7"/>
    <x v="3"/>
    <x v="4"/>
    <x v="9"/>
    <s v="Atelier - Cadrage populations et stratégie d'accompagnement"/>
    <n v="1"/>
    <n v="700"/>
    <m/>
    <m/>
    <m/>
    <n v="1"/>
    <m/>
    <m/>
    <m/>
    <n v="0"/>
    <n v="0"/>
    <n v="0"/>
    <n v="700"/>
    <n v="0"/>
    <n v="0"/>
    <n v="0"/>
    <s v="oui"/>
    <m/>
  </r>
  <r>
    <s v="7"/>
    <x v="3"/>
    <x v="4"/>
    <x v="9"/>
    <s v="Atelier Cadrage stratégie Change"/>
    <n v="1"/>
    <n v="700"/>
    <m/>
    <m/>
    <m/>
    <n v="1"/>
    <m/>
    <m/>
    <m/>
    <n v="0"/>
    <n v="0"/>
    <n v="0"/>
    <n v="700"/>
    <n v="0"/>
    <n v="0"/>
    <n v="0"/>
    <s v="oui"/>
    <m/>
  </r>
  <r>
    <s v="7"/>
    <x v="3"/>
    <x v="4"/>
    <x v="9"/>
    <s v="Livrable - Plan d'accompagnement au changement"/>
    <n v="1.5"/>
    <n v="1050"/>
    <m/>
    <m/>
    <m/>
    <n v="1.5"/>
    <m/>
    <m/>
    <m/>
    <n v="0"/>
    <n v="0"/>
    <n v="0"/>
    <n v="1050"/>
    <n v="0"/>
    <n v="0"/>
    <n v="0"/>
    <s v="oui"/>
    <m/>
  </r>
  <r>
    <s v="7"/>
    <x v="3"/>
    <x v="4"/>
    <x v="9"/>
    <s v="Livrable - 1 vidéo teasing"/>
    <n v="3"/>
    <n v="2100"/>
    <m/>
    <m/>
    <m/>
    <n v="3"/>
    <m/>
    <m/>
    <m/>
    <n v="0"/>
    <n v="0"/>
    <n v="0"/>
    <n v="2100"/>
    <n v="0"/>
    <n v="0"/>
    <n v="0"/>
    <s v="oui"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s v="7"/>
    <x v="3"/>
    <x v="4"/>
    <x v="9"/>
    <s v="Livrable - 3 Mails de communication"/>
    <n v="1.5"/>
    <n v="1050"/>
    <m/>
    <m/>
    <m/>
    <n v="1.5"/>
    <m/>
    <m/>
    <m/>
    <n v="0"/>
    <n v="0"/>
    <n v="0"/>
    <n v="1050"/>
    <n v="0"/>
    <n v="0"/>
    <n v="0"/>
    <s v="oui"/>
    <m/>
  </r>
  <r>
    <s v="7"/>
    <x v="3"/>
    <x v="4"/>
    <x v="9"/>
    <s v="Livrable - Kit Champions"/>
    <n v="2"/>
    <n v="1400"/>
    <m/>
    <m/>
    <m/>
    <n v="2"/>
    <m/>
    <m/>
    <m/>
    <n v="0"/>
    <n v="0"/>
    <n v="0"/>
    <n v="1400"/>
    <n v="0"/>
    <n v="0"/>
    <n v="0"/>
    <s v="oui"/>
    <m/>
  </r>
  <r>
    <s v="7"/>
    <x v="3"/>
    <x v="4"/>
    <x v="9"/>
    <s v="Session Mobilisation Champions"/>
    <n v="0.5"/>
    <n v="350"/>
    <m/>
    <m/>
    <m/>
    <n v="0.5"/>
    <m/>
    <m/>
    <m/>
    <n v="0"/>
    <n v="0"/>
    <n v="0"/>
    <n v="350"/>
    <n v="0"/>
    <n v="0"/>
    <n v="0"/>
    <s v="oui"/>
    <m/>
  </r>
  <r>
    <s v="7"/>
    <x v="3"/>
    <x v="4"/>
    <x v="9"/>
    <s v="Session Sponsoring Managers"/>
    <n v="0.5"/>
    <n v="350"/>
    <m/>
    <m/>
    <m/>
    <n v="0.5"/>
    <m/>
    <m/>
    <m/>
    <n v="0"/>
    <n v="0"/>
    <n v="0"/>
    <n v="350"/>
    <n v="0"/>
    <n v="0"/>
    <n v="0"/>
    <s v="oui"/>
    <m/>
  </r>
  <r>
    <s v="7"/>
    <x v="3"/>
    <x v="4"/>
    <x v="9"/>
    <s v="Livrable - 1 Modop utilisateurs"/>
    <n v="2"/>
    <n v="1400"/>
    <m/>
    <m/>
    <m/>
    <n v="2"/>
    <m/>
    <m/>
    <m/>
    <n v="0"/>
    <n v="0"/>
    <n v="0"/>
    <n v="1400"/>
    <n v="0"/>
    <n v="0"/>
    <n v="0"/>
    <s v="oui"/>
    <m/>
  </r>
  <r>
    <s v="7"/>
    <x v="3"/>
    <x v="4"/>
    <x v="9"/>
    <s v="Livrable - 1 Guide N1 / N2"/>
    <n v="3"/>
    <n v="2150"/>
    <m/>
    <m/>
    <n v="1"/>
    <n v="2"/>
    <m/>
    <m/>
    <m/>
    <n v="0"/>
    <n v="0"/>
    <n v="750"/>
    <n v="1400"/>
    <n v="0"/>
    <n v="0"/>
    <n v="0"/>
    <s v="oui"/>
    <m/>
  </r>
  <r>
    <s v="7"/>
    <x v="3"/>
    <x v="4"/>
    <x v="9"/>
    <s v="Session - 3 Webinars utilisateurs"/>
    <n v="3"/>
    <n v="2100"/>
    <m/>
    <m/>
    <m/>
    <n v="3"/>
    <m/>
    <m/>
    <m/>
    <n v="0"/>
    <n v="0"/>
    <n v="0"/>
    <n v="2100"/>
    <n v="0"/>
    <n v="0"/>
    <n v="0"/>
    <s v="non"/>
    <m/>
  </r>
  <r>
    <s v="7"/>
    <x v="3"/>
    <x v="4"/>
    <x v="9"/>
    <m/>
    <s v="-"/>
    <s v="-"/>
    <m/>
    <m/>
    <m/>
    <m/>
    <m/>
    <m/>
    <m/>
    <n v="0"/>
    <n v="0"/>
    <n v="0"/>
    <n v="0"/>
    <n v="0"/>
    <n v="0"/>
    <n v="0"/>
    <s v="non"/>
    <m/>
  </r>
  <r>
    <s v="7"/>
    <x v="3"/>
    <x v="4"/>
    <x v="9"/>
    <s v="Livrable - 1 Tuto vidéo Windows Hello en 3 étapes"/>
    <n v="2"/>
    <n v="1400"/>
    <m/>
    <m/>
    <m/>
    <n v="2"/>
    <m/>
    <m/>
    <m/>
    <n v="0"/>
    <n v="0"/>
    <n v="0"/>
    <n v="1400"/>
    <n v="0"/>
    <n v="0"/>
    <n v="0"/>
    <s v="non"/>
    <m/>
  </r>
  <r>
    <s v="7"/>
    <x v="3"/>
    <x v="4"/>
    <x v="9"/>
    <s v="Livrable - FAQ"/>
    <n v="1"/>
    <n v="700"/>
    <m/>
    <m/>
    <m/>
    <n v="1"/>
    <m/>
    <m/>
    <m/>
    <n v="0"/>
    <n v="0"/>
    <n v="0"/>
    <n v="700"/>
    <n v="0"/>
    <n v="0"/>
    <n v="0"/>
    <s v="non"/>
    <m/>
  </r>
  <r>
    <s v="7"/>
    <x v="3"/>
    <x v="4"/>
    <x v="9"/>
    <s v="Accompagnement des 13 Sites Principaux (Distanciel)"/>
    <s v="-"/>
    <s v="-"/>
    <m/>
    <m/>
    <m/>
    <m/>
    <m/>
    <m/>
    <m/>
    <n v="0"/>
    <n v="0"/>
    <n v="0"/>
    <n v="0"/>
    <n v="0"/>
    <n v="0"/>
    <n v="0"/>
    <s v="non"/>
    <m/>
  </r>
  <r>
    <s v="7"/>
    <x v="3"/>
    <x v="4"/>
    <x v="9"/>
    <s v="OPTION 1 : Accompagnement des 13 Sites principaux (Ditanciels) + 4 jours pour les vagues des grands sites"/>
    <n v="20"/>
    <n v="14500"/>
    <m/>
    <m/>
    <n v="10"/>
    <n v="10"/>
    <m/>
    <m/>
    <m/>
    <n v="0"/>
    <n v="0"/>
    <n v="7500"/>
    <n v="7000"/>
    <n v="0"/>
    <n v="0"/>
    <n v="0"/>
    <s v="non"/>
    <s v="Affiché en moitié moitié afin d'afficher un TJM Moyen. Indenpendemment on peut amener le consultant Change ou Identité sur les journées de bascule des Sites"/>
  </r>
  <r>
    <s v="7"/>
    <x v="3"/>
    <x v="0"/>
    <x v="0"/>
    <s v="Pilotage Option Change 15 sites"/>
    <n v="1.5"/>
    <n v="1125"/>
    <n v="1.5"/>
    <m/>
    <m/>
    <m/>
    <m/>
    <m/>
    <m/>
    <n v="1125"/>
    <n v="0"/>
    <n v="0"/>
    <n v="0"/>
    <n v="0"/>
    <n v="0"/>
    <n v="0"/>
    <s v="non"/>
    <m/>
  </r>
  <r>
    <s v="7"/>
    <x v="3"/>
    <x v="4"/>
    <x v="9"/>
    <s v="OPTION 2 : Dashboard Complet PowerBI "/>
    <n v="6"/>
    <n v="4750"/>
    <n v="0.5"/>
    <m/>
    <n v="0.5"/>
    <m/>
    <n v="5"/>
    <m/>
    <m/>
    <n v="375"/>
    <n v="0"/>
    <n v="375"/>
    <n v="0"/>
    <n v="4000"/>
    <n v="0"/>
    <n v="0"/>
    <s v="oui"/>
    <s v="PowerBI suivi déploiement"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m/>
    <m/>
    <m/>
    <m/>
    <m/>
    <m/>
    <m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s v="9"/>
    <x v="4"/>
    <x v="6"/>
    <x v="10"/>
    <s v="Aléas accès conditionnel"/>
    <n v="1"/>
    <n v="800"/>
    <m/>
    <n v="0.5"/>
    <n v="0.5"/>
    <m/>
    <m/>
    <m/>
    <m/>
    <n v="0"/>
    <n v="425"/>
    <n v="375"/>
    <n v="0"/>
    <n v="0"/>
    <n v="0"/>
    <n v="0"/>
    <s v="non"/>
    <m/>
  </r>
  <r>
    <s v="9"/>
    <x v="4"/>
    <x v="6"/>
    <x v="10"/>
    <s v="Aléas déploiement"/>
    <n v="1.5"/>
    <n v="1150"/>
    <m/>
    <n v="0.5"/>
    <n v="0.5"/>
    <n v="0.5"/>
    <m/>
    <m/>
    <m/>
    <n v="0"/>
    <n v="425"/>
    <n v="375"/>
    <n v="350"/>
    <n v="0"/>
    <n v="0"/>
    <n v="0"/>
    <s v="non"/>
    <m/>
  </r>
  <r>
    <s v="9"/>
    <x v="4"/>
    <x v="6"/>
    <x v="10"/>
    <s v="Aléas adoption utilisateurs"/>
    <n v="1"/>
    <n v="700"/>
    <m/>
    <m/>
    <m/>
    <n v="1"/>
    <m/>
    <m/>
    <m/>
    <n v="0"/>
    <n v="0"/>
    <n v="0"/>
    <n v="700"/>
    <n v="0"/>
    <n v="0"/>
    <n v="0"/>
    <s v="non"/>
    <m/>
  </r>
  <r>
    <s v="9"/>
    <x v="4"/>
    <x v="6"/>
    <x v="10"/>
    <s v="Aléas planning / dépendances"/>
    <n v="0.5"/>
    <n v="375"/>
    <n v="0.5"/>
    <m/>
    <m/>
    <m/>
    <m/>
    <m/>
    <m/>
    <n v="375"/>
    <n v="0"/>
    <n v="0"/>
    <n v="0"/>
    <n v="0"/>
    <n v="0"/>
    <n v="0"/>
    <s v="non"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  <r>
    <m/>
    <x v="1"/>
    <x v="1"/>
    <x v="1"/>
    <m/>
    <s v="-"/>
    <s v="-"/>
    <m/>
    <m/>
    <m/>
    <m/>
    <m/>
    <m/>
    <m/>
    <n v="0"/>
    <n v="0"/>
    <n v="0"/>
    <n v="0"/>
    <n v="0"/>
    <n v="0"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Tableau croisé dynamique1" cacheId="350" applyNumberFormats="0" applyBorderFormats="0" applyFontFormats="0" applyPatternFormats="0" applyAlignmentFormats="0" applyWidthHeightFormats="1" dataCaption="Valeurs" updatedVersion="8" minRefreshableVersion="3" useAutoFormatting="1" itemPrintTitles="1" createdVersion="5" indent="0" outline="1" outlineData="1" multipleFieldFilters="0" rowHeaderCaption="Phase">
  <location ref="F4:H12" firstHeaderRow="0" firstDataRow="1" firstDataCol="1" rowPageCount="1" colPageCount="1"/>
  <pivotFields count="23">
    <pivotField showAll="0"/>
    <pivotField axis="axisPage" multipleItemSelectionAllowed="1" showAll="0">
      <items count="14">
        <item m="1" x="5"/>
        <item m="1" x="6"/>
        <item m="1" x="7"/>
        <item m="1" x="8"/>
        <item m="1" x="9"/>
        <item m="1" x="11"/>
        <item m="1" x="12"/>
        <item m="1" x="10"/>
        <item x="1"/>
        <item x="0"/>
        <item x="3"/>
        <item x="4"/>
        <item x="2"/>
        <item t="default"/>
      </items>
    </pivotField>
    <pivotField axis="axisRow" showAll="0">
      <items count="19">
        <item m="1" x="13"/>
        <item m="1" x="9"/>
        <item m="1" x="15"/>
        <item x="2"/>
        <item x="3"/>
        <item x="4"/>
        <item x="5"/>
        <item x="1"/>
        <item m="1" x="7"/>
        <item m="1" x="10"/>
        <item m="1" x="14"/>
        <item m="1" x="12"/>
        <item m="1" x="17"/>
        <item m="1" x="11"/>
        <item m="1" x="16"/>
        <item x="6"/>
        <item x="0"/>
        <item m="1" x="8"/>
        <item t="default"/>
      </items>
    </pivotField>
    <pivotField showAll="0"/>
    <pivotField showAll="0"/>
    <pivotField dataField="1" showAll="0"/>
    <pivotField dataField="1"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 v="3"/>
    </i>
    <i>
      <x v="4"/>
    </i>
    <i>
      <x v="5"/>
    </i>
    <i>
      <x v="6"/>
    </i>
    <i>
      <x v="7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Charge" fld="5" baseField="3" baseItem="0"/>
    <dataField name="Valorisation" fld="6" baseField="2" baseItem="1" numFmtId="44"/>
  </dataFields>
  <formats count="15">
    <format dxfId="32">
      <pivotArea type="all" dataOnly="0" outline="0" fieldPosition="0"/>
    </format>
    <format dxfId="33">
      <pivotArea outline="0" collapsedLevelsAreSubtotals="1" fieldPosition="0"/>
    </format>
    <format dxfId="34">
      <pivotArea field="2" type="button" dataOnly="0" labelOnly="1" outline="0" axis="axisRow" fieldPosition="0"/>
    </format>
    <format dxfId="35">
      <pivotArea dataOnly="0" labelOnly="1" outline="0" axis="axisValues" fieldPosition="0"/>
    </format>
    <format dxfId="36">
      <pivotArea dataOnly="0" labelOnly="1" fieldPosition="0">
        <references count="1">
          <reference field="2" count="0"/>
        </references>
      </pivotArea>
    </format>
    <format dxfId="37">
      <pivotArea dataOnly="0" labelOnly="1" grandRow="1" outline="0" fieldPosition="0"/>
    </format>
    <format dxfId="38">
      <pivotArea type="all" dataOnly="0" outline="0" fieldPosition="0"/>
    </format>
    <format dxfId="39">
      <pivotArea outline="0" collapsedLevelsAreSubtotals="1" fieldPosition="0"/>
    </format>
    <format dxfId="40">
      <pivotArea field="2" type="button" dataOnly="0" labelOnly="1" outline="0" axis="axisRow" fieldPosition="0"/>
    </format>
    <format dxfId="41">
      <pivotArea dataOnly="0" labelOnly="1" outline="0" axis="axisValues" fieldPosition="0"/>
    </format>
    <format dxfId="42">
      <pivotArea dataOnly="0" labelOnly="1" fieldPosition="0">
        <references count="1">
          <reference field="2" count="0"/>
        </references>
      </pivotArea>
    </format>
    <format dxfId="43">
      <pivotArea dataOnly="0" labelOnly="1" grandRow="1" outline="0" fieldPosition="0"/>
    </format>
    <format dxfId="4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5">
      <pivotArea field="2" type="button" dataOnly="0" labelOnly="1" outline="0" axis="axisRow" fieldPosition="0"/>
    </format>
    <format dxfId="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1000000}" name="Tableau croisé dynamique2" cacheId="350" applyNumberFormats="0" applyBorderFormats="0" applyFontFormats="0" applyPatternFormats="0" applyAlignmentFormats="0" applyWidthHeightFormats="1" dataCaption="Valeurs" updatedVersion="8" minRefreshableVersion="3" useAutoFormatting="1" itemPrintTitles="1" createdVersion="5" indent="0" outline="1" outlineData="1" multipleFieldFilters="0" rowHeaderCaption="Etapes">
  <location ref="J4:L16" firstHeaderRow="0" firstDataRow="1" firstDataCol="1" rowPageCount="1" colPageCount="1"/>
  <pivotFields count="23">
    <pivotField showAll="0"/>
    <pivotField axis="axisPage" multipleItemSelectionAllowed="1" showAll="0">
      <items count="14">
        <item m="1" x="5"/>
        <item m="1" x="6"/>
        <item m="1" x="7"/>
        <item m="1" x="8"/>
        <item m="1" x="9"/>
        <item m="1" x="11"/>
        <item m="1" x="12"/>
        <item m="1" x="10"/>
        <item x="1"/>
        <item x="0"/>
        <item x="3"/>
        <item x="4"/>
        <item x="2"/>
        <item t="default"/>
      </items>
    </pivotField>
    <pivotField showAll="0">
      <items count="19">
        <item x="1"/>
        <item x="2"/>
        <item x="3"/>
        <item x="4"/>
        <item x="5"/>
        <item m="1" x="9"/>
        <item m="1" x="15"/>
        <item m="1" x="13"/>
        <item m="1" x="7"/>
        <item m="1" x="10"/>
        <item m="1" x="14"/>
        <item m="1" x="12"/>
        <item m="1" x="17"/>
        <item m="1" x="11"/>
        <item m="1" x="16"/>
        <item x="6"/>
        <item x="0"/>
        <item m="1" x="8"/>
        <item t="default"/>
      </items>
    </pivotField>
    <pivotField axis="axisRow" showAll="0" sortType="ascending">
      <items count="33">
        <item x="2"/>
        <item m="1" x="17"/>
        <item m="1" x="14"/>
        <item x="4"/>
        <item x="3"/>
        <item m="1" x="28"/>
        <item m="1" x="13"/>
        <item x="5"/>
        <item m="1" x="15"/>
        <item m="1" x="26"/>
        <item x="9"/>
        <item m="1" x="24"/>
        <item m="1" x="19"/>
        <item m="1" x="18"/>
        <item m="1" x="22"/>
        <item m="1" x="30"/>
        <item m="1" x="27"/>
        <item x="7"/>
        <item m="1" x="29"/>
        <item x="0"/>
        <item m="1" x="31"/>
        <item m="1" x="16"/>
        <item m="1" x="21"/>
        <item x="10"/>
        <item m="1" x="11"/>
        <item m="1" x="23"/>
        <item m="1" x="25"/>
        <item x="8"/>
        <item x="6"/>
        <item m="1" x="20"/>
        <item m="1" x="12"/>
        <item x="1"/>
        <item t="default"/>
      </items>
    </pivotField>
    <pivotField showAll="0"/>
    <pivotField dataField="1" showAll="0"/>
    <pivotField dataField="1"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2">
    <i>
      <x/>
    </i>
    <i>
      <x v="3"/>
    </i>
    <i>
      <x v="4"/>
    </i>
    <i>
      <x v="7"/>
    </i>
    <i>
      <x v="10"/>
    </i>
    <i>
      <x v="17"/>
    </i>
    <i>
      <x v="19"/>
    </i>
    <i>
      <x v="23"/>
    </i>
    <i>
      <x v="27"/>
    </i>
    <i>
      <x v="28"/>
    </i>
    <i>
      <x v="31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Charge" fld="5" baseField="2" baseItem="1"/>
    <dataField name="Valorisation" fld="6" baseField="3" baseItem="0" numFmtId="44"/>
  </dataFields>
  <formats count="13"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2" type="button" dataOnly="0" labelOnly="1" outline="0"/>
    </format>
    <format dxfId="22">
      <pivotArea dataOnly="0" labelOnly="1" outline="0" axis="axisValues" fieldPosition="0"/>
    </format>
    <format dxfId="23">
      <pivotArea dataOnly="0" labelOnly="1" grandRow="1" outline="0" fieldPosition="0"/>
    </format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2" type="button" dataOnly="0" labelOnly="1" outline="0"/>
    </format>
    <format dxfId="27">
      <pivotArea dataOnly="0" labelOnly="1" outline="0" axis="axisValues" fieldPosition="0"/>
    </format>
    <format dxfId="28">
      <pivotArea dataOnly="0" labelOnly="1" grandRow="1" outline="0" fieldPosition="0"/>
    </format>
    <format dxfId="2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0">
      <pivotArea field="3" type="button" dataOnly="0" labelOnly="1" outline="0" axis="axisRow" fieldPosition="0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3" Type="http://schemas.openxmlformats.org/officeDocument/2006/relationships/printerSettings" Target="../printerSettings/printerSettings2.bin"/><Relationship Id="rId7" Type="http://schemas.openxmlformats.org/officeDocument/2006/relationships/ctrlProp" Target="../ctrlProps/ctrlProp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ctrlProp" Target="../ctrlProps/ctrlProp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2.xml"/><Relationship Id="rId5" Type="http://schemas.openxmlformats.org/officeDocument/2006/relationships/image" Target="../media/image2.emf"/><Relationship Id="rId4" Type="http://schemas.openxmlformats.org/officeDocument/2006/relationships/control" Target="../activeX/activeX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D695-F29A-472B-80C6-CF56B96DA5F5}">
  <sheetPr codeName="Feuil4"/>
  <dimension ref="A1:V18"/>
  <sheetViews>
    <sheetView showGridLines="0" workbookViewId="0">
      <selection activeCell="B22" sqref="B22"/>
    </sheetView>
  </sheetViews>
  <sheetFormatPr defaultColWidth="11" defaultRowHeight="16.5"/>
  <cols>
    <col min="1" max="1" width="6" customWidth="1"/>
    <col min="2" max="2" width="31.125" customWidth="1"/>
    <col min="3" max="3" width="42.625" customWidth="1"/>
    <col min="6" max="6" width="8.625" customWidth="1"/>
    <col min="7" max="7" width="22.25" customWidth="1"/>
    <col min="8" max="15" width="3.5" customWidth="1"/>
  </cols>
  <sheetData>
    <row r="1" spans="1:22" s="5" customFormat="1" ht="43.5" customHeight="1">
      <c r="A1" s="1"/>
      <c r="B1" s="13"/>
      <c r="C1" s="128" t="s">
        <v>0</v>
      </c>
      <c r="D1" s="36"/>
      <c r="E1" s="4"/>
      <c r="F1" s="2"/>
      <c r="G1" s="2"/>
      <c r="H1" s="3"/>
      <c r="I1" s="3"/>
      <c r="J1" s="3"/>
      <c r="K1" s="3"/>
      <c r="L1" s="3"/>
      <c r="M1" s="2"/>
      <c r="N1" s="2"/>
      <c r="O1" s="2"/>
      <c r="P1" s="2"/>
      <c r="Q1" s="2"/>
      <c r="R1" s="2"/>
      <c r="S1" s="2"/>
      <c r="T1" s="2"/>
      <c r="U1" s="2"/>
      <c r="V1" s="2"/>
    </row>
    <row r="3" spans="1:22" ht="16.5" customHeight="1">
      <c r="B3" s="55" t="s">
        <v>1</v>
      </c>
      <c r="C3" s="138"/>
      <c r="F3" s="129" t="s">
        <v>2</v>
      </c>
      <c r="G3" s="139"/>
    </row>
    <row r="4" spans="1:22" ht="16.5" customHeight="1">
      <c r="B4" s="55" t="s">
        <v>3</v>
      </c>
      <c r="C4" s="138"/>
      <c r="F4" s="129" t="s">
        <v>4</v>
      </c>
      <c r="G4" s="140"/>
    </row>
    <row r="5" spans="1:22">
      <c r="B5" s="55" t="s">
        <v>5</v>
      </c>
      <c r="C5" s="138"/>
    </row>
    <row r="6" spans="1:22">
      <c r="B6" s="55" t="s">
        <v>6</v>
      </c>
      <c r="C6" s="138"/>
    </row>
    <row r="8" spans="1:22">
      <c r="B8" s="55" t="s">
        <v>7</v>
      </c>
      <c r="C8" s="138"/>
    </row>
    <row r="9" spans="1:22">
      <c r="B9" s="55" t="s">
        <v>8</v>
      </c>
      <c r="C9" s="138"/>
    </row>
    <row r="10" spans="1:22">
      <c r="B10" s="55" t="s">
        <v>9</v>
      </c>
      <c r="C10" s="138"/>
    </row>
    <row r="11" spans="1:22">
      <c r="B11" s="55" t="s">
        <v>10</v>
      </c>
      <c r="C11" s="138"/>
    </row>
    <row r="12" spans="1:22">
      <c r="B12" s="55" t="s">
        <v>11</v>
      </c>
      <c r="C12" s="138"/>
    </row>
    <row r="14" spans="1:22">
      <c r="B14" s="55" t="s">
        <v>12</v>
      </c>
      <c r="C14" s="138"/>
    </row>
    <row r="15" spans="1:22">
      <c r="B15" s="55" t="s">
        <v>13</v>
      </c>
      <c r="C15" s="138"/>
    </row>
    <row r="16" spans="1:22">
      <c r="B16" s="55" t="s">
        <v>14</v>
      </c>
      <c r="C16" s="132">
        <f>SYNTHESE!D4</f>
        <v>94925</v>
      </c>
    </row>
    <row r="17" spans="2:3">
      <c r="B17" s="55" t="s">
        <v>15</v>
      </c>
      <c r="C17" s="131" t="str">
        <f>SYNTHESE!D64</f>
        <v/>
      </c>
    </row>
    <row r="18" spans="2:3">
      <c r="B18" s="55" t="s">
        <v>16</v>
      </c>
      <c r="C18" s="131" t="str">
        <f>IFERROR(SYNTHESE!D68*SYNTHESE!D63,"")</f>
        <v/>
      </c>
    </row>
  </sheetData>
  <sheetProtection sheet="1" objects="1" scenarios="1"/>
  <dataValidations count="3">
    <dataValidation type="list" allowBlank="1" showInputMessage="1" showErrorMessage="1" sqref="C14" xr:uid="{6D3EF2B7-D1D4-4B3D-AD57-541C28EF7E58}">
      <formula1>"Régie,Forfait,Régie forfaitée"</formula1>
    </dataValidation>
    <dataValidation type="list" allowBlank="1" showInputMessage="1" showErrorMessage="1" sqref="C9" xr:uid="{E3F5AAC1-0B11-40BD-93E4-26A655577507}">
      <formula1>ACTIVITE</formula1>
    </dataValidation>
    <dataValidation type="list" allowBlank="1" showInputMessage="1" showErrorMessage="1" sqref="C8" xr:uid="{E71AAB44-99B0-478B-B2DD-E9223D1270D1}">
      <formula1>AGENCE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8"/>
  <dimension ref="A1:O76"/>
  <sheetViews>
    <sheetView showGridLines="0" zoomScale="85" zoomScaleNormal="85" workbookViewId="0">
      <selection activeCell="D30" sqref="D30"/>
    </sheetView>
  </sheetViews>
  <sheetFormatPr defaultColWidth="11" defaultRowHeight="14.1"/>
  <cols>
    <col min="1" max="1" width="11" style="5"/>
    <col min="2" max="2" width="2.25" style="5" customWidth="1"/>
    <col min="3" max="3" width="28.25" style="5" customWidth="1"/>
    <col min="4" max="4" width="12.25" style="5" bestFit="1" customWidth="1"/>
    <col min="5" max="5" width="2.25" style="5" customWidth="1"/>
    <col min="6" max="6" width="12.125" style="5" bestFit="1" customWidth="1"/>
    <col min="7" max="7" width="7.5" style="5" bestFit="1" customWidth="1"/>
    <col min="8" max="8" width="10.875" style="5" bestFit="1" customWidth="1"/>
    <col min="9" max="9" width="2.75" style="5" customWidth="1"/>
    <col min="10" max="10" width="27.375" style="5" bestFit="1" customWidth="1"/>
    <col min="11" max="11" width="7.5" style="5" bestFit="1" customWidth="1"/>
    <col min="12" max="12" width="10.875" style="5" bestFit="1" customWidth="1"/>
    <col min="13" max="16384" width="11" style="5"/>
  </cols>
  <sheetData>
    <row r="1" spans="1:15" ht="33" customHeight="1">
      <c r="A1" s="1"/>
      <c r="B1" s="1"/>
      <c r="C1" s="36" t="s">
        <v>17</v>
      </c>
      <c r="D1" s="6"/>
      <c r="E1" s="6"/>
      <c r="F1" s="2"/>
      <c r="G1" s="2"/>
      <c r="H1" s="3"/>
      <c r="I1" s="3"/>
      <c r="J1" s="3"/>
      <c r="K1" s="3"/>
      <c r="L1" s="3"/>
      <c r="M1" s="2"/>
      <c r="N1" s="2"/>
      <c r="O1" s="2"/>
    </row>
    <row r="2" spans="1:15" ht="14.25">
      <c r="F2" s="179" t="s">
        <v>18</v>
      </c>
      <c r="G2" s="180" t="s">
        <v>19</v>
      </c>
      <c r="J2" s="179" t="s">
        <v>18</v>
      </c>
      <c r="K2" s="180" t="s">
        <v>19</v>
      </c>
    </row>
    <row r="4" spans="1:15" ht="14.25">
      <c r="C4" s="55" t="s">
        <v>20</v>
      </c>
      <c r="D4" s="108">
        <f>D8+D25+D17</f>
        <v>94925</v>
      </c>
      <c r="F4" s="183" t="s">
        <v>21</v>
      </c>
      <c r="G4" s="184" t="s">
        <v>22</v>
      </c>
      <c r="H4" s="185" t="s">
        <v>23</v>
      </c>
      <c r="J4" s="183" t="s">
        <v>24</v>
      </c>
      <c r="K4" s="184" t="s">
        <v>22</v>
      </c>
      <c r="L4" s="185" t="s">
        <v>23</v>
      </c>
    </row>
    <row r="5" spans="1:15" ht="14.25">
      <c r="F5" s="181" t="s">
        <v>25</v>
      </c>
      <c r="G5" s="190">
        <v>8.5</v>
      </c>
      <c r="H5" s="182">
        <v>7075</v>
      </c>
      <c r="J5" s="181" t="s">
        <v>26</v>
      </c>
      <c r="K5" s="190">
        <v>3</v>
      </c>
      <c r="L5" s="182">
        <v>2550</v>
      </c>
    </row>
    <row r="6" spans="1:15" ht="14.25">
      <c r="F6" s="181" t="s">
        <v>27</v>
      </c>
      <c r="G6" s="190">
        <v>7.5</v>
      </c>
      <c r="H6" s="182">
        <v>5625</v>
      </c>
      <c r="J6" s="181" t="s">
        <v>28</v>
      </c>
      <c r="K6" s="190">
        <v>4</v>
      </c>
      <c r="L6" s="182">
        <v>3300</v>
      </c>
    </row>
    <row r="7" spans="1:15" ht="14.25">
      <c r="C7" s="71" t="s">
        <v>29</v>
      </c>
      <c r="D7" s="84">
        <f>WORKLOAD!F3</f>
        <v>104</v>
      </c>
      <c r="F7" s="181" t="s">
        <v>30</v>
      </c>
      <c r="G7" s="190">
        <v>56</v>
      </c>
      <c r="H7" s="182">
        <v>40550</v>
      </c>
      <c r="J7" s="181" t="s">
        <v>31</v>
      </c>
      <c r="K7" s="190">
        <v>1.5</v>
      </c>
      <c r="L7" s="182">
        <v>1225</v>
      </c>
    </row>
    <row r="8" spans="1:15" ht="14.25">
      <c r="C8" s="72" t="s">
        <v>32</v>
      </c>
      <c r="D8" s="73">
        <f>PROFIL!J13</f>
        <v>77425</v>
      </c>
      <c r="F8" s="181" t="s">
        <v>33</v>
      </c>
      <c r="G8" s="190">
        <v>6</v>
      </c>
      <c r="H8" s="182">
        <v>4650</v>
      </c>
      <c r="J8" s="181" t="s">
        <v>34</v>
      </c>
      <c r="K8" s="190">
        <v>7.5</v>
      </c>
      <c r="L8" s="182">
        <v>5625</v>
      </c>
    </row>
    <row r="9" spans="1:15" ht="14.25">
      <c r="C9" s="72" t="s">
        <v>35</v>
      </c>
      <c r="D9" s="73">
        <f>PROFIL!K13</f>
        <v>38120</v>
      </c>
      <c r="F9" s="181" t="s">
        <v>36</v>
      </c>
      <c r="G9" s="190">
        <v>0</v>
      </c>
      <c r="H9" s="182">
        <v>0</v>
      </c>
      <c r="J9" s="181" t="s">
        <v>37</v>
      </c>
      <c r="K9" s="190">
        <v>48</v>
      </c>
      <c r="L9" s="182">
        <v>34700</v>
      </c>
    </row>
    <row r="10" spans="1:15" ht="14.25">
      <c r="C10" s="72" t="s">
        <v>38</v>
      </c>
      <c r="D10" s="73">
        <f>IFERROR(D9/D7,"")</f>
        <v>366.53846153846155</v>
      </c>
      <c r="F10" s="181" t="s">
        <v>39</v>
      </c>
      <c r="G10" s="190">
        <v>4</v>
      </c>
      <c r="H10" s="182">
        <v>3025</v>
      </c>
      <c r="J10" s="181" t="s">
        <v>40</v>
      </c>
      <c r="K10" s="190">
        <v>6</v>
      </c>
      <c r="L10" s="182">
        <v>4350</v>
      </c>
    </row>
    <row r="11" spans="1:15" ht="14.25">
      <c r="C11" s="72" t="s">
        <v>41</v>
      </c>
      <c r="D11" s="79">
        <f>IFERROR((D8-PROFIL!L13)/SYNTHESE!D8,"")</f>
        <v>0.50765256700032291</v>
      </c>
      <c r="F11" s="181" t="s">
        <v>42</v>
      </c>
      <c r="G11" s="190">
        <v>22</v>
      </c>
      <c r="H11" s="182">
        <v>16500</v>
      </c>
      <c r="J11" s="181" t="s">
        <v>43</v>
      </c>
      <c r="K11" s="190">
        <v>22</v>
      </c>
      <c r="L11" s="182">
        <v>16500</v>
      </c>
    </row>
    <row r="12" spans="1:15" ht="14.25">
      <c r="C12" s="72" t="s">
        <v>44</v>
      </c>
      <c r="D12" s="106">
        <f>IFERROR((D8-D9)/D8,"")</f>
        <v>0.50765256700032291</v>
      </c>
      <c r="F12" s="181" t="s">
        <v>45</v>
      </c>
      <c r="G12" s="190">
        <v>104</v>
      </c>
      <c r="H12" s="182">
        <v>77425</v>
      </c>
      <c r="J12" s="181" t="s">
        <v>46</v>
      </c>
      <c r="K12" s="190">
        <v>4</v>
      </c>
      <c r="L12" s="182">
        <v>3025</v>
      </c>
    </row>
    <row r="13" spans="1:15" ht="16.5">
      <c r="C13" s="74" t="s">
        <v>47</v>
      </c>
      <c r="D13" s="78">
        <f>IFERROR(D8/D7,"")</f>
        <v>744.47115384615381</v>
      </c>
      <c r="F13"/>
      <c r="G13"/>
      <c r="H13"/>
      <c r="J13" s="181" t="s">
        <v>48</v>
      </c>
      <c r="K13" s="190">
        <v>6</v>
      </c>
      <c r="L13" s="182">
        <v>4650</v>
      </c>
    </row>
    <row r="14" spans="1:15" ht="16.5">
      <c r="C14" s="118"/>
      <c r="D14" s="117"/>
      <c r="F14"/>
      <c r="G14"/>
      <c r="H14"/>
      <c r="J14" s="181" t="s">
        <v>49</v>
      </c>
      <c r="K14" s="190">
        <v>2</v>
      </c>
      <c r="L14" s="182">
        <v>1500</v>
      </c>
    </row>
    <row r="15" spans="1:15" ht="16.5">
      <c r="F15"/>
      <c r="G15"/>
      <c r="H15"/>
      <c r="J15" s="181" t="s">
        <v>36</v>
      </c>
      <c r="K15" s="190">
        <v>0</v>
      </c>
      <c r="L15" s="182">
        <v>0</v>
      </c>
    </row>
    <row r="16" spans="1:15" ht="16.5">
      <c r="C16" s="55" t="s">
        <v>50</v>
      </c>
      <c r="D16" s="163">
        <f>FRAIS!D17</f>
        <v>17500</v>
      </c>
      <c r="F16"/>
      <c r="G16"/>
      <c r="H16"/>
      <c r="J16" s="181" t="s">
        <v>45</v>
      </c>
      <c r="K16" s="190">
        <v>104</v>
      </c>
      <c r="L16" s="182">
        <v>77425</v>
      </c>
    </row>
    <row r="17" spans="3:12" ht="16.5">
      <c r="C17" s="55" t="s">
        <v>51</v>
      </c>
      <c r="D17" s="163">
        <f>FRAIS!E17</f>
        <v>17500</v>
      </c>
      <c r="F17"/>
      <c r="G17"/>
      <c r="H17"/>
      <c r="J17"/>
      <c r="K17"/>
      <c r="L17"/>
    </row>
    <row r="18" spans="3:12" ht="16.5">
      <c r="C18" s="55" t="s">
        <v>52</v>
      </c>
      <c r="D18" s="82">
        <f>IFERROR((D16-D17)/D7,"")</f>
        <v>0</v>
      </c>
      <c r="F18"/>
      <c r="G18"/>
      <c r="H18"/>
      <c r="J18"/>
      <c r="K18"/>
      <c r="L18"/>
    </row>
    <row r="19" spans="3:12" ht="16.5">
      <c r="G19"/>
      <c r="H19"/>
      <c r="J19"/>
      <c r="K19"/>
      <c r="L19"/>
    </row>
    <row r="20" spans="3:12" ht="16.5">
      <c r="C20" s="53" t="s">
        <v>53</v>
      </c>
      <c r="D20" s="81">
        <f>SUMIF(WORKLOAD!C4:C96,"PROVISION",WORKLOAD!F4:F96)</f>
        <v>4</v>
      </c>
      <c r="F20"/>
      <c r="G20"/>
      <c r="H20"/>
      <c r="J20"/>
      <c r="K20"/>
      <c r="L20"/>
    </row>
    <row r="21" spans="3:12" ht="16.5">
      <c r="C21" s="53" t="s">
        <v>54</v>
      </c>
      <c r="D21" s="75">
        <f>SUMIF(WORKLOAD!C4:C96,"PROVISION",WORKLOAD!G4:G96)</f>
        <v>3025</v>
      </c>
      <c r="F21"/>
      <c r="G21"/>
      <c r="H21"/>
      <c r="J21"/>
      <c r="K21"/>
      <c r="L21"/>
    </row>
    <row r="22" spans="3:12" ht="16.5">
      <c r="C22" s="53" t="s">
        <v>55</v>
      </c>
      <c r="D22" s="107">
        <f>IFERROR(D21/D8,"")</f>
        <v>3.9070067807555696E-2</v>
      </c>
      <c r="F22"/>
      <c r="G22"/>
      <c r="H22"/>
      <c r="J22"/>
      <c r="K22"/>
      <c r="L22"/>
    </row>
    <row r="23" spans="3:12" ht="16.5">
      <c r="C23" s="77"/>
      <c r="F23"/>
      <c r="G23"/>
      <c r="H23"/>
      <c r="J23"/>
      <c r="K23"/>
      <c r="L23"/>
    </row>
    <row r="24" spans="3:12" ht="16.5">
      <c r="C24" s="52" t="s">
        <v>56</v>
      </c>
      <c r="D24" s="163">
        <f>ACHAT!E17</f>
        <v>0</v>
      </c>
      <c r="F24"/>
      <c r="G24"/>
      <c r="H24"/>
      <c r="J24"/>
      <c r="K24"/>
      <c r="L24"/>
    </row>
    <row r="25" spans="3:12" ht="16.5">
      <c r="C25" s="53" t="s">
        <v>57</v>
      </c>
      <c r="D25" s="163">
        <f>ACHAT!G17</f>
        <v>0</v>
      </c>
      <c r="F25"/>
      <c r="G25"/>
      <c r="H25"/>
      <c r="J25"/>
      <c r="K25"/>
      <c r="L25"/>
    </row>
    <row r="26" spans="3:12" ht="16.5">
      <c r="C26" s="53" t="s">
        <v>58</v>
      </c>
      <c r="D26" s="105">
        <f>D25-D24</f>
        <v>0</v>
      </c>
      <c r="F26"/>
      <c r="G26"/>
      <c r="H26"/>
      <c r="J26"/>
      <c r="K26"/>
      <c r="L26"/>
    </row>
    <row r="27" spans="3:12" ht="16.5">
      <c r="C27" s="54" t="s">
        <v>59</v>
      </c>
      <c r="D27" s="80" t="str">
        <f>IF(D24&lt;&gt;0,(D25-D24)/D25,"")</f>
        <v/>
      </c>
      <c r="F27"/>
      <c r="G27"/>
      <c r="H27"/>
      <c r="J27"/>
      <c r="K27"/>
      <c r="L27"/>
    </row>
    <row r="28" spans="3:12" ht="17.100000000000001" thickBot="1">
      <c r="C28" s="77"/>
      <c r="F28"/>
      <c r="G28"/>
      <c r="H28"/>
      <c r="J28"/>
      <c r="K28"/>
      <c r="L28"/>
    </row>
    <row r="29" spans="3:12" ht="16.5">
      <c r="C29" s="71" t="s">
        <v>60</v>
      </c>
      <c r="D29" s="76">
        <f>D8-D9+D26+D17-D16</f>
        <v>39305</v>
      </c>
      <c r="F29"/>
      <c r="G29"/>
      <c r="H29"/>
      <c r="J29"/>
      <c r="K29"/>
      <c r="L29"/>
    </row>
    <row r="30" spans="3:12" ht="17.100000000000001" thickBot="1">
      <c r="C30" s="74" t="s">
        <v>61</v>
      </c>
      <c r="D30" s="83">
        <f>IFERROR(D29/D4,"")</f>
        <v>0.41406373452725836</v>
      </c>
      <c r="F30"/>
      <c r="G30"/>
      <c r="H30"/>
      <c r="J30"/>
      <c r="K30"/>
      <c r="L30"/>
    </row>
    <row r="31" spans="3:12" ht="16.5">
      <c r="C31" s="77"/>
      <c r="F31"/>
      <c r="G31"/>
      <c r="H31"/>
      <c r="J31"/>
      <c r="K31"/>
      <c r="L31"/>
    </row>
    <row r="32" spans="3:12" ht="17.100000000000001" thickBot="1">
      <c r="C32" s="77"/>
      <c r="E32" s="8"/>
      <c r="F32"/>
      <c r="G32"/>
      <c r="H32"/>
      <c r="J32"/>
      <c r="K32"/>
      <c r="L32"/>
    </row>
    <row r="33" spans="3:12" ht="16.5">
      <c r="C33" s="71" t="s">
        <v>62</v>
      </c>
      <c r="D33" s="113">
        <f>IF(SUMIF(PROFIL!C6:C12,"FO",PROFIL!I6:I12)&lt;&gt;0,SUMIF(PROFIL!C6:C12,"FO",PROFIL!I6:I12),"")</f>
        <v>104</v>
      </c>
      <c r="E33" s="8"/>
      <c r="F33"/>
      <c r="G33"/>
      <c r="H33"/>
      <c r="J33"/>
      <c r="K33"/>
      <c r="L33"/>
    </row>
    <row r="34" spans="3:12" ht="16.5">
      <c r="C34" s="72" t="s">
        <v>63</v>
      </c>
      <c r="D34" s="73">
        <f>IF(SUMIF(PROFIL!C6:C12,"FO",PROFIL!J6:J12)&lt;&gt;0,SUMIF(PROFIL!C6:C12,"FO",PROFIL!J6:J12),"")</f>
        <v>77425</v>
      </c>
      <c r="E34" s="8"/>
      <c r="F34"/>
      <c r="G34"/>
      <c r="H34"/>
      <c r="J34"/>
      <c r="K34"/>
      <c r="L34"/>
    </row>
    <row r="35" spans="3:12" ht="16.5">
      <c r="C35" s="72" t="s">
        <v>64</v>
      </c>
      <c r="D35" s="73">
        <f>IFERROR(D34/D33,"")</f>
        <v>744.47115384615381</v>
      </c>
      <c r="E35" s="8"/>
      <c r="F35"/>
      <c r="G35"/>
      <c r="H35"/>
      <c r="J35"/>
      <c r="K35"/>
      <c r="L35"/>
    </row>
    <row r="36" spans="3:12" ht="16.5">
      <c r="C36" s="72" t="s">
        <v>65</v>
      </c>
      <c r="D36" s="73">
        <f>IF(SUMIF(PROFIL!C6:C12,"FO",PROFIL!J6:J12)&lt;&gt;0,SUMIF(PROFIL!C6:C12,"FO",PROFIL!K6:K12)/(SUMIF(PROFIL!C6:C12,"FO",PROFIL!I6:I12)),"")</f>
        <v>366.53846153846155</v>
      </c>
      <c r="E36" s="8"/>
      <c r="F36"/>
      <c r="G36"/>
      <c r="H36"/>
      <c r="I36"/>
      <c r="J36"/>
      <c r="K36"/>
      <c r="L36"/>
    </row>
    <row r="37" spans="3:12" s="8" customFormat="1" ht="17.100000000000001" thickBot="1">
      <c r="C37" s="74" t="s">
        <v>66</v>
      </c>
      <c r="D37" s="83">
        <f>IF(SUMIF(PROFIL!C6:C12,"FO",PROFIL!J6:J12)&lt;&gt;0,(SUMIF(PROFIL!C6:C12,"FO",PROFIL!J6:J12)-SUMIF(PROFIL!C6:C12,"FO",PROFIL!K6:K12))/(SUMIF(PROFIL!C6:C12,"FO",PROFIL!J6:J12)),"")</f>
        <v>0.50765256700032291</v>
      </c>
      <c r="F37"/>
      <c r="G37"/>
      <c r="H37"/>
    </row>
    <row r="38" spans="3:12" s="8" customFormat="1" ht="17.100000000000001" thickBot="1">
      <c r="F38"/>
      <c r="G38"/>
      <c r="H38"/>
    </row>
    <row r="39" spans="3:12" s="8" customFormat="1" ht="16.5">
      <c r="C39" s="71" t="s">
        <v>67</v>
      </c>
      <c r="D39" s="113" t="str">
        <f>IF(SUMIF(PROFIL!C6:C12,"CESSION",PROFIL!I6:I12)&lt;&gt;0,SUMIF(PROFIL!C6:C12,"CESSION",PROFIL!I6:I12),"")</f>
        <v/>
      </c>
      <c r="F39"/>
      <c r="G39"/>
      <c r="H39"/>
    </row>
    <row r="40" spans="3:12" s="8" customFormat="1" ht="16.5">
      <c r="C40" s="72" t="s">
        <v>68</v>
      </c>
      <c r="D40" s="73" t="str">
        <f>IF(SUMIF(PROFIL!C6:C12,"CESSION",PROFIL!J6:J12)&lt;&gt;0,SUMIF(PROFIL!C6:C12,"CESSION",PROFIL!J6:J12),"")</f>
        <v/>
      </c>
      <c r="F40"/>
      <c r="G40"/>
      <c r="H40"/>
    </row>
    <row r="41" spans="3:12" s="8" customFormat="1" ht="16.5">
      <c r="C41" s="72" t="s">
        <v>69</v>
      </c>
      <c r="D41" s="73" t="str">
        <f>IFERROR(D40/D39,"")</f>
        <v/>
      </c>
      <c r="F41"/>
      <c r="G41"/>
      <c r="H41"/>
    </row>
    <row r="42" spans="3:12" s="8" customFormat="1" ht="16.5">
      <c r="C42" s="72" t="s">
        <v>70</v>
      </c>
      <c r="D42" s="73" t="str">
        <f>IF(SUMIF(PROFIL!C3:C10,"CESSION",PROFIL!J3:J10)&lt;&gt;0,SUMIF(PROFIL!C3:C10,"CESSION",PROFIL!K3:K10)/(SUMIF(PROFIL!C3:C10,"CESSION",PROFIL!I3:I10)),"")</f>
        <v/>
      </c>
      <c r="F42"/>
      <c r="G42"/>
      <c r="H42"/>
    </row>
    <row r="43" spans="3:12" s="8" customFormat="1" ht="16.5">
      <c r="C43" s="72" t="s">
        <v>71</v>
      </c>
      <c r="D43" s="106" t="str">
        <f>IF(SUMIF(PROFIL!C3:C10,"CESSION",PROFIL!J3:J10)&lt;&gt;0,(SUMIF(PROFIL!C3:C10,"CESSION",PROFIL!J3:J10)-SUMIF(PROFIL!C3:C10,"CESSION",PROFIL!K3:K10))/(SUMIF(PROFIL!C3:C10,"CESSION",PROFIL!J3:J10)),"")</f>
        <v/>
      </c>
      <c r="F43"/>
      <c r="G43"/>
      <c r="H43"/>
    </row>
    <row r="44" spans="3:12" s="8" customFormat="1" ht="16.5">
      <c r="C44" s="72" t="s">
        <v>72</v>
      </c>
      <c r="D44" s="73" t="str">
        <f>IF(SUMIF(PROFIL!C6:C12,"CESSION",PROFIL!J6:J12)&lt;&gt;0,SUMIF(PROFIL!C6:C12,"CESSION",PROFIL!L6:L12)/(SUMIF(PROFIL!C6:C12,"CESSION",PROFIL!I6:I12)),"")</f>
        <v/>
      </c>
      <c r="F44"/>
      <c r="G44"/>
      <c r="H44"/>
    </row>
    <row r="45" spans="3:12" s="8" customFormat="1" ht="17.100000000000001" thickBot="1">
      <c r="C45" s="74" t="s">
        <v>73</v>
      </c>
      <c r="D45" s="83" t="str">
        <f>IF(SUMIF(PROFIL!C6:C12,"CESSION",PROFIL!J6:J12)&lt;&gt;0,(SUMIF(PROFIL!C6:C12,"CESSION",PROFIL!J6:J12)-SUMIF(PROFIL!C6:C12,"CESSION",PROFIL!L6:L12))/(SUMIF(PROFIL!C6:C12,"CESSION",PROFIL!J6:J12)),"")</f>
        <v/>
      </c>
      <c r="F45"/>
      <c r="G45"/>
      <c r="H45"/>
    </row>
    <row r="46" spans="3:12" s="8" customFormat="1" ht="17.100000000000001" thickBot="1">
      <c r="F46"/>
      <c r="G46"/>
      <c r="H46"/>
    </row>
    <row r="47" spans="3:12" s="8" customFormat="1" ht="16.5">
      <c r="C47" s="71" t="s">
        <v>74</v>
      </c>
      <c r="D47" s="113" t="str">
        <f>IF(SUMIF(PROFIL!C6:C12,"ACHAT",PROFIL!I6:I12)&lt;&gt;0,SUMIF(PROFIL!C6:C12,"ACHAT",PROFIL!I6:I12),"")</f>
        <v/>
      </c>
      <c r="F47"/>
      <c r="G47"/>
      <c r="H47"/>
    </row>
    <row r="48" spans="3:12" s="8" customFormat="1" ht="16.5">
      <c r="C48" s="72" t="s">
        <v>75</v>
      </c>
      <c r="D48" s="73" t="str">
        <f>IF(SUMIF(PROFIL!C6:C12,"ACHAT",PROFIL!J6:J12)&lt;&gt;0,SUMIF(PROFIL!C6:C12,"ACHAT",PROFIL!J6:J12),"")</f>
        <v/>
      </c>
      <c r="F48"/>
      <c r="G48"/>
      <c r="H48"/>
    </row>
    <row r="49" spans="3:8" s="8" customFormat="1" ht="16.5">
      <c r="C49" s="72" t="s">
        <v>76</v>
      </c>
      <c r="D49" s="73" t="str">
        <f>IFERROR(D48/D47,"")</f>
        <v/>
      </c>
      <c r="F49"/>
      <c r="G49"/>
      <c r="H49"/>
    </row>
    <row r="50" spans="3:8" s="8" customFormat="1" ht="16.5">
      <c r="C50" s="72" t="s">
        <v>77</v>
      </c>
      <c r="D50" s="73" t="str">
        <f>IF(SUMIF(PROFIL!C6:C12,"ACHAT",PROFIL!J6:J12)&lt;&gt;0,SUMIF(PROFIL!C6:C12,"ACHAT",PROFIL!L6:L12)/(SUMIF(PROFIL!C6:C12,"ACHAT",PROFIL!I6:I12)),"")</f>
        <v/>
      </c>
      <c r="F50"/>
      <c r="G50"/>
      <c r="H50"/>
    </row>
    <row r="51" spans="3:8" s="8" customFormat="1" ht="17.100000000000001" thickBot="1">
      <c r="C51" s="74" t="s">
        <v>78</v>
      </c>
      <c r="D51" s="83" t="str">
        <f>IF(SUMIF(PROFIL!C6:C12,"ACHAT",PROFIL!J6:J12)&lt;&gt;0,(SUMIF(PROFIL!C6:C12,"ACHAT",PROFIL!J6:J12)-SUMIF(PROFIL!C6:C12,"ACHAT",PROFIL!K6:K12))/(SUMIF(PROFIL!C6:C12,"ACHAT",PROFIL!J6:J12)),"")</f>
        <v/>
      </c>
      <c r="F51"/>
      <c r="G51"/>
      <c r="H51"/>
    </row>
    <row r="52" spans="3:8" s="8" customFormat="1" ht="17.100000000000001" thickBot="1">
      <c r="F52"/>
      <c r="G52"/>
      <c r="H52"/>
    </row>
    <row r="53" spans="3:8" s="8" customFormat="1" ht="16.5">
      <c r="C53" s="71" t="s">
        <v>79</v>
      </c>
      <c r="D53" s="113" t="str">
        <f>IF(SUMIF(PROFIL!C6:C12,"BO",PROFIL!I6:I12)&lt;&gt;0,SUMIF(PROFIL!C6:C12,"BO",PROFIL!I6:I12),"")</f>
        <v/>
      </c>
      <c r="F53"/>
      <c r="G53"/>
      <c r="H53"/>
    </row>
    <row r="54" spans="3:8" s="8" customFormat="1" ht="16.5">
      <c r="C54" s="72" t="s">
        <v>80</v>
      </c>
      <c r="D54" s="73" t="str">
        <f>IF(SUMIF(PROFIL!C6:C12,"BO",PROFIL!J6:J12)&lt;&gt;0,SUMIF(PROFIL!C6:C12,"BO",PROFIL!J6:J12),"")</f>
        <v/>
      </c>
      <c r="F54"/>
      <c r="G54"/>
      <c r="H54"/>
    </row>
    <row r="55" spans="3:8" s="8" customFormat="1" ht="16.5">
      <c r="C55" s="72" t="s">
        <v>81</v>
      </c>
      <c r="D55" s="73" t="str">
        <f>IFERROR(D54/D53,"")</f>
        <v/>
      </c>
      <c r="F55"/>
      <c r="G55"/>
      <c r="H55"/>
    </row>
    <row r="56" spans="3:8" s="8" customFormat="1" ht="16.5">
      <c r="C56" s="72" t="s">
        <v>82</v>
      </c>
      <c r="D56" s="73" t="str">
        <f>IF(SUMIF(PROFIL!C6:C12,"BO",PROFIL!J6:J12)&lt;&gt;0,SUMIF(PROFIL!C6:C12,"BO",PROFIL!K6:K12)/(SUMIF(PROFIL!C6:C12,"BO",PROFIL!I6:I12)),"")</f>
        <v/>
      </c>
      <c r="F56"/>
      <c r="G56"/>
      <c r="H56"/>
    </row>
    <row r="57" spans="3:8" s="8" customFormat="1" ht="17.100000000000001" thickBot="1">
      <c r="C57" s="72" t="s">
        <v>83</v>
      </c>
      <c r="D57" s="106" t="str">
        <f>IF(SUMIF(PROFIL!C6:C12,"BO",PROFIL!J6:J12)&lt;&gt;0,(SUMIF(PROFIL!C6:C12,"BO",PROFIL!J6:J12)-SUMIF(PROFIL!C6:C12,"BO",PROFIL!K6:K12))/(SUMIF(PROFIL!C6:C12,"BO",PROFIL!J6:J12)),"")</f>
        <v/>
      </c>
      <c r="F57"/>
      <c r="G57"/>
      <c r="H57"/>
    </row>
    <row r="58" spans="3:8" s="8" customFormat="1" ht="16.5">
      <c r="C58" s="71" t="s">
        <v>84</v>
      </c>
      <c r="D58" s="113" t="str">
        <f>IF(SUMIF(PROFIL!C6:C12,"ACHAT BO",PROFIL!I6:I12)&lt;&gt;0,SUMIF(PROFIL!C6:C12,"ACHAT BO",PROFIL!I6:I12),"")</f>
        <v/>
      </c>
      <c r="F58"/>
      <c r="G58"/>
      <c r="H58"/>
    </row>
    <row r="59" spans="3:8" s="8" customFormat="1" ht="16.5">
      <c r="C59" s="72" t="s">
        <v>85</v>
      </c>
      <c r="D59" s="73" t="str">
        <f>IF(SUMIF(PROFIL!C6:C12,"ACHAT BO",PROFIL!J6:J12)&lt;&gt;0,SUMIF(PROFIL!C6:C12,"ACHAT BO",PROFIL!J6:J12),"")</f>
        <v/>
      </c>
      <c r="F59"/>
      <c r="G59"/>
      <c r="H59"/>
    </row>
    <row r="60" spans="3:8" s="8" customFormat="1" ht="16.5">
      <c r="C60" s="72" t="s">
        <v>86</v>
      </c>
      <c r="D60" s="73" t="str">
        <f>IFERROR(D59/D58,"")</f>
        <v/>
      </c>
      <c r="F60"/>
      <c r="G60"/>
      <c r="H60"/>
    </row>
    <row r="61" spans="3:8" s="8" customFormat="1" ht="16.5">
      <c r="C61" s="72" t="s">
        <v>87</v>
      </c>
      <c r="D61" s="73" t="str">
        <f>IF(SUMIF(PROFIL!C6:C12,"ACHAT BO",PROFIL!J6:J12)&lt;&gt;0,SUMIF(PROFIL!C6:C12,"ACHAT BO",PROFIL!K6:K12)/(SUMIF(PROFIL!C6:C12,"ACHAT BO",PROFIL!I6:I12)),"")</f>
        <v/>
      </c>
      <c r="F61"/>
      <c r="G61"/>
      <c r="H61"/>
    </row>
    <row r="62" spans="3:8" s="8" customFormat="1" ht="17.100000000000001" thickBot="1">
      <c r="C62" s="72" t="s">
        <v>88</v>
      </c>
      <c r="D62" s="106" t="str">
        <f>IF(SUMIF(PROFIL!C6:C12,"ACHAT BO",PROFIL!J6:J12)&lt;&gt;0,(SUMIF(PROFIL!C6:C12,"ACHAT BO",PROFIL!J6:J12)-SUMIF(PROFIL!C6:C12,"ACHAT BO",PROFIL!K6:K12))/(SUMIF(PROFIL!C6:C12,"ACHAT BO",PROFIL!J6:J12)),"")</f>
        <v/>
      </c>
      <c r="F62"/>
      <c r="G62"/>
      <c r="H62"/>
    </row>
    <row r="63" spans="3:8" s="8" customFormat="1" ht="16.5">
      <c r="C63" s="71" t="s">
        <v>89</v>
      </c>
      <c r="D63" s="113" t="str">
        <f>IF(OR(SUMIF(PROFIL!C6:C12,"BO",PROFIL!I6:I12)&lt;&gt;0, SUMIF(PROFIL!C6:C12,"ACHAT BO",PROFIL!I6:I12)&lt;&gt;0),  SUMIF(PROFIL!C6:C12,"BO",PROFIL!I6:I12)+SUMIF(PROFIL!C6:C12,"ACHAT BO",PROFIL!I6:I12),"")</f>
        <v/>
      </c>
      <c r="F63"/>
      <c r="G63"/>
      <c r="H63"/>
    </row>
    <row r="64" spans="3:8" s="8" customFormat="1" ht="16.5">
      <c r="C64" s="72" t="s">
        <v>90</v>
      </c>
      <c r="D64" s="73" t="str">
        <f>IF(OR(SUMIF(PROFIL!C6:C12,"BO",PROFIL!J6:J12)&lt;&gt;0,SUMIF(PROFIL!C6:C12,"ACHAT BO",PROFIL!J6:J12)&lt;&gt;0 ),SUMIF(PROFIL!C6:C12,"BO",PROFIL!J6:J12)+SUMIF(PROFIL!C6:C12,"ACHAT BO",PROFIL!J6:J12),"")</f>
        <v/>
      </c>
      <c r="F64"/>
      <c r="G64" s="130"/>
      <c r="H64"/>
    </row>
    <row r="65" spans="3:8" s="8" customFormat="1" ht="16.5">
      <c r="C65" s="72" t="s">
        <v>91</v>
      </c>
      <c r="D65" s="73" t="str">
        <f>IFERROR(D64/D63,"")</f>
        <v/>
      </c>
      <c r="F65"/>
      <c r="G65"/>
      <c r="H65"/>
    </row>
    <row r="66" spans="3:8" s="8" customFormat="1" ht="16.5">
      <c r="C66" s="72" t="s">
        <v>92</v>
      </c>
      <c r="D66" s="73" t="str">
        <f>IF(SUMIF(PROFIL!C6:C12,"BO",PROFIL!J6:J12)+SUMIF(PROFIL!C6:C12,"ACHAT BO",PROFIL!J6:J12)&lt;&gt;0,(SUMIF(PROFIL!C6:C12,"BO",PROFIL!K6:K12)+SUMIF(PROFIL!C6:C12,"ACHAT BO",PROFIL!K6:K12))/(SUMIF(PROFIL!C6:C12,"BO",PROFIL!I6:I12)+SUMIF(PROFIL!C6:C12,"ACHAT BO",PROFIL!I6:I12)),"")</f>
        <v/>
      </c>
      <c r="F66"/>
      <c r="G66"/>
      <c r="H66"/>
    </row>
    <row r="67" spans="3:8" s="8" customFormat="1" ht="17.100000000000001" thickBot="1">
      <c r="C67" s="72" t="s">
        <v>93</v>
      </c>
      <c r="D67" s="106" t="str">
        <f>IF(SUMIF(PROFIL!C6:C12,"BO",PROFIL!J6:J12)+SUMIF(PROFIL!C6:C12,"ACHAT BO",PROFIL!J6:J12)&lt;&gt;0,(SUMIF(PROFIL!C6:C12,"BO",PROFIL!J6:J12)+SUMIF(PROFIL!C6:C12,"ACHAT BO",PROFIL!J6:J12)-SUMIF(PROFIL!C6:C12,"BO",PROFIL!K6:K12)-SUMIF(PROFIL!C6:C12,"ACHAT BO",PROFIL!K6:K12))/(SUMIF(PROFIL!C6:C12,"BO",PROFIL!J6:J12)+SUMIF(PROFIL!C6:C12,"ACHAT BO",PROFIL!J6:J12)),"")</f>
        <v/>
      </c>
      <c r="F67"/>
      <c r="G67"/>
      <c r="H67"/>
    </row>
    <row r="68" spans="3:8" s="8" customFormat="1" ht="16.5">
      <c r="C68" s="71" t="s">
        <v>94</v>
      </c>
      <c r="D68" s="116" t="str">
        <f>IF((SUMIF(PROFIL!C6:C12,"BO",PROFIL!I6:I12)+SUMIF(PROFIL!C6:C12,"ACHAT BO",PROFIL!I6:I12))&lt;&gt;0,(SUMIF(PROFIL!C6:C12,"BO",PROFIL!L6:L12)+SUMIF(PROFIL!C6:C12,"ACHAT BO",PROFIL!L6:L12))/(SUMIF(PROFIL!C6:C12,"BO",PROFIL!I6:I12)+SUMIF(PROFIL!C6:C12,"ACHAT BO",PROFIL!I6:I12)),"")</f>
        <v/>
      </c>
      <c r="F68"/>
      <c r="G68"/>
      <c r="H68"/>
    </row>
    <row r="69" spans="3:8" s="8" customFormat="1" ht="17.100000000000001" thickBot="1">
      <c r="C69" s="74" t="s">
        <v>95</v>
      </c>
      <c r="D69" s="83" t="str">
        <f>IF(D65&lt;&gt;"",(D65-D68)/D65,"")</f>
        <v/>
      </c>
      <c r="F69"/>
      <c r="G69"/>
      <c r="H69"/>
    </row>
    <row r="70" spans="3:8" s="8" customFormat="1" ht="16.5">
      <c r="F70"/>
      <c r="G70"/>
      <c r="H70"/>
    </row>
    <row r="71" spans="3:8" ht="16.5">
      <c r="C71" s="8"/>
      <c r="D71" s="8"/>
      <c r="E71" s="8"/>
      <c r="F71"/>
      <c r="G71"/>
      <c r="H71"/>
    </row>
    <row r="72" spans="3:8" ht="16.5">
      <c r="C72" s="8"/>
      <c r="D72" s="47"/>
      <c r="F72"/>
      <c r="G72"/>
      <c r="H72"/>
    </row>
    <row r="73" spans="3:8" ht="16.5">
      <c r="C73" s="8"/>
      <c r="D73" s="8"/>
      <c r="F73"/>
      <c r="G73"/>
      <c r="H73"/>
    </row>
    <row r="74" spans="3:8" ht="16.5">
      <c r="F74"/>
      <c r="G74"/>
      <c r="H74"/>
    </row>
    <row r="75" spans="3:8" ht="16.5">
      <c r="F75"/>
      <c r="G75"/>
      <c r="H75"/>
    </row>
    <row r="76" spans="3:8" ht="16.5">
      <c r="F76"/>
      <c r="G76"/>
      <c r="H76"/>
    </row>
  </sheetData>
  <pageMargins left="0.7" right="0.7" top="0.75" bottom="0.75" header="0.3" footer="0.3"/>
  <pageSetup paperSize="9"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4" r:id="rId6" name="Group Box 2">
              <controlPr defaultSize="0" autoFill="0" autoPict="0">
                <anchor moveWithCells="1">
                  <from>
                    <xdr:col>1</xdr:col>
                    <xdr:colOff>95250</xdr:colOff>
                    <xdr:row>4</xdr:row>
                    <xdr:rowOff>146050</xdr:rowOff>
                  </from>
                  <to>
                    <xdr:col>4</xdr:col>
                    <xdr:colOff>76200</xdr:colOff>
                    <xdr:row>12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7" name="Group Box 3">
              <controlPr defaultSize="0" autoFill="0" autoPict="0">
                <anchor moveWithCells="1">
                  <from>
                    <xdr:col>1</xdr:col>
                    <xdr:colOff>95250</xdr:colOff>
                    <xdr:row>13</xdr:row>
                    <xdr:rowOff>222250</xdr:rowOff>
                  </from>
                  <to>
                    <xdr:col>4</xdr:col>
                    <xdr:colOff>76200</xdr:colOff>
                    <xdr:row>30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8" name="Group Box 5">
              <controlPr defaultSize="0" autoFill="0" autoPict="0">
                <anchor moveWithCells="1">
                  <from>
                    <xdr:col>1</xdr:col>
                    <xdr:colOff>76200</xdr:colOff>
                    <xdr:row>30</xdr:row>
                    <xdr:rowOff>209550</xdr:rowOff>
                  </from>
                  <to>
                    <xdr:col>4</xdr:col>
                    <xdr:colOff>95250</xdr:colOff>
                    <xdr:row>69</xdr:row>
                    <xdr:rowOff>107950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S47"/>
  <sheetViews>
    <sheetView showGridLines="0" topLeftCell="B1" zoomScaleNormal="100" workbookViewId="0">
      <selection activeCell="B16" sqref="B16:C16"/>
    </sheetView>
  </sheetViews>
  <sheetFormatPr defaultColWidth="11" defaultRowHeight="16.5"/>
  <cols>
    <col min="1" max="1" width="11" style="123"/>
    <col min="2" max="2" width="27.5" style="5" bestFit="1" customWidth="1"/>
    <col min="3" max="3" width="9" bestFit="1" customWidth="1"/>
    <col min="4" max="4" width="9.25" style="5" bestFit="1" customWidth="1"/>
    <col min="5" max="5" width="8.625" style="5" customWidth="1"/>
    <col min="6" max="6" width="10.25" style="5" bestFit="1" customWidth="1"/>
    <col min="7" max="7" width="10.5" style="5" bestFit="1" customWidth="1"/>
    <col min="8" max="8" width="9.75" style="5" customWidth="1"/>
    <col min="9" max="9" width="10.5" style="5" customWidth="1"/>
    <col min="10" max="10" width="12.625" style="5" bestFit="1" customWidth="1"/>
    <col min="11" max="11" width="13" style="5" bestFit="1" customWidth="1"/>
    <col min="12" max="12" width="12.25" style="5" customWidth="1"/>
    <col min="13" max="16384" width="11" style="5"/>
  </cols>
  <sheetData>
    <row r="1" spans="1:19" ht="33" customHeight="1">
      <c r="A1" s="3"/>
      <c r="B1" s="36" t="s">
        <v>96</v>
      </c>
      <c r="C1" s="6"/>
      <c r="D1" s="6"/>
      <c r="E1" s="6"/>
      <c r="F1" s="6"/>
      <c r="G1" s="6"/>
      <c r="H1" s="4"/>
      <c r="I1" s="2"/>
      <c r="J1" s="2"/>
      <c r="K1" s="2"/>
      <c r="L1" s="3"/>
      <c r="M1" s="3"/>
      <c r="N1" s="3"/>
      <c r="O1" s="3"/>
      <c r="P1" s="3"/>
      <c r="Q1" s="2"/>
      <c r="R1" s="2"/>
      <c r="S1" s="2"/>
    </row>
    <row r="3" spans="1:19" ht="23.25" customHeight="1"/>
    <row r="4" spans="1:19" ht="21" customHeight="1"/>
    <row r="5" spans="1:19" s="145" customFormat="1" ht="34.5">
      <c r="A5" s="146" t="s">
        <v>97</v>
      </c>
      <c r="B5" s="30" t="s">
        <v>98</v>
      </c>
      <c r="C5" s="29" t="s">
        <v>99</v>
      </c>
      <c r="D5" s="29" t="s">
        <v>100</v>
      </c>
      <c r="E5" s="31" t="s">
        <v>101</v>
      </c>
      <c r="F5" s="31" t="s">
        <v>102</v>
      </c>
      <c r="G5" s="31" t="s">
        <v>103</v>
      </c>
      <c r="H5" s="29" t="s">
        <v>104</v>
      </c>
      <c r="I5" s="29" t="s">
        <v>105</v>
      </c>
      <c r="J5" s="29" t="s">
        <v>106</v>
      </c>
      <c r="K5" s="31" t="s">
        <v>107</v>
      </c>
      <c r="L5" s="31" t="s">
        <v>108</v>
      </c>
      <c r="M5" s="29" t="s">
        <v>109</v>
      </c>
      <c r="N5" s="29" t="s">
        <v>110</v>
      </c>
      <c r="O5" s="31" t="s">
        <v>111</v>
      </c>
      <c r="P5" s="31" t="s">
        <v>112</v>
      </c>
    </row>
    <row r="6" spans="1:19" s="145" customFormat="1" ht="14.1">
      <c r="A6" s="156" t="str">
        <f>IF(AND(D6&lt;&gt;"",$J$15&lt;&gt;""),D6*(1-$J$15),"")</f>
        <v/>
      </c>
      <c r="B6" s="147" t="s">
        <v>113</v>
      </c>
      <c r="C6" s="70" t="s">
        <v>114</v>
      </c>
      <c r="D6" s="148">
        <v>750</v>
      </c>
      <c r="E6" s="149">
        <v>400</v>
      </c>
      <c r="F6" s="150" t="str">
        <f>IF(OR( C6="BO",C6="ACHAT BO"), 450,"")</f>
        <v/>
      </c>
      <c r="G6" s="148"/>
      <c r="H6" s="151" t="str">
        <f t="shared" ref="H6:H11" si="0">IFERROR(IF(C6="CESSION",(((D6-E6)/2)+E6)+((G6/2)/I6),IF(C6="ACHAT",E6,IF(OR( C6="BO",C6="ACHAT BO"), F6+G6/I6,""))),"")</f>
        <v/>
      </c>
      <c r="I6" s="152">
        <f>WORKLOAD!H96</f>
        <v>21.5</v>
      </c>
      <c r="J6" s="85">
        <f>I6*D6*(1-$J$15)</f>
        <v>16125</v>
      </c>
      <c r="K6" s="85">
        <f t="shared" ref="K6:K12" si="1">E6*I6</f>
        <v>8600</v>
      </c>
      <c r="L6" s="85">
        <f t="shared" ref="L6:L12" si="2">IFERROR(IF(C6="FO",E6*I6,H6*I6),0)</f>
        <v>8600</v>
      </c>
      <c r="M6" s="107">
        <f t="shared" ref="M6:M12" si="3">IF(I6&lt;&gt;0,I6/$I$13,"")</f>
        <v>0.20673076923076922</v>
      </c>
      <c r="N6" s="107">
        <f t="shared" ref="N6:N12" si="4">IF(J6&lt;&gt;0,J6/$J$13,"")</f>
        <v>0.20826606393283822</v>
      </c>
      <c r="O6" s="107">
        <f>IF(J6&lt;&gt;0,(J6-K6)/J6,"")</f>
        <v>0.46666666666666667</v>
      </c>
      <c r="P6" s="107">
        <f>IF(J6&lt;&gt;0,(J6-L6)/J6,"")</f>
        <v>0.46666666666666667</v>
      </c>
      <c r="Q6" s="153" t="s">
        <v>115</v>
      </c>
    </row>
    <row r="7" spans="1:19" s="145" customFormat="1" ht="14.1">
      <c r="A7" s="156" t="str">
        <f>IF(AND(D7&lt;&gt;"",$J$15&lt;&gt;""),D7*(1-$J$15),"")</f>
        <v/>
      </c>
      <c r="B7" s="147" t="s">
        <v>116</v>
      </c>
      <c r="C7" s="70" t="s">
        <v>114</v>
      </c>
      <c r="D7" s="148">
        <v>850</v>
      </c>
      <c r="E7" s="154">
        <v>420</v>
      </c>
      <c r="F7" s="150" t="str">
        <f t="shared" ref="F7:F12" si="5">IF(OR( C7="BO",C7="ACHAT BO"), 450,"")</f>
        <v/>
      </c>
      <c r="G7" s="148"/>
      <c r="H7" s="151" t="str">
        <f t="shared" si="0"/>
        <v/>
      </c>
      <c r="I7" s="152">
        <f>WORKLOAD!I96</f>
        <v>10.5</v>
      </c>
      <c r="J7" s="85">
        <f t="shared" ref="J7:J12" si="6">I7*D7*(1-$J$15)</f>
        <v>8925</v>
      </c>
      <c r="K7" s="85">
        <f t="shared" si="1"/>
        <v>4410</v>
      </c>
      <c r="L7" s="85">
        <f t="shared" si="2"/>
        <v>4410</v>
      </c>
      <c r="M7" s="107">
        <f t="shared" si="3"/>
        <v>0.10096153846153846</v>
      </c>
      <c r="N7" s="107">
        <f t="shared" si="4"/>
        <v>0.11527284468840814</v>
      </c>
      <c r="O7" s="107">
        <f>IF(J7&lt;&gt;0,(J7-K7)/J7,"")</f>
        <v>0.50588235294117645</v>
      </c>
      <c r="P7" s="107">
        <f>IF(J7&lt;&gt;0,(J7-L7)/J7,"")</f>
        <v>0.50588235294117645</v>
      </c>
      <c r="Q7" s="153" t="s">
        <v>117</v>
      </c>
    </row>
    <row r="8" spans="1:19" s="145" customFormat="1" ht="14.1">
      <c r="A8" s="156" t="str">
        <f>IF(AND(D8&lt;&gt;"",$J$15&lt;&gt;""),D8*(1-$J$15),"")</f>
        <v/>
      </c>
      <c r="B8" s="147" t="s">
        <v>118</v>
      </c>
      <c r="C8" s="70" t="s">
        <v>114</v>
      </c>
      <c r="D8" s="148">
        <v>750</v>
      </c>
      <c r="E8" s="154">
        <v>380</v>
      </c>
      <c r="F8" s="150" t="str">
        <f t="shared" si="5"/>
        <v/>
      </c>
      <c r="G8" s="148"/>
      <c r="H8" s="151" t="str">
        <f t="shared" si="0"/>
        <v/>
      </c>
      <c r="I8" s="152">
        <f>WORKLOAD!J96</f>
        <v>29.5</v>
      </c>
      <c r="J8" s="85">
        <f t="shared" si="6"/>
        <v>22125</v>
      </c>
      <c r="K8" s="85">
        <f t="shared" si="1"/>
        <v>11210</v>
      </c>
      <c r="L8" s="85">
        <f t="shared" si="2"/>
        <v>11210</v>
      </c>
      <c r="M8" s="107">
        <f t="shared" si="3"/>
        <v>0.28365384615384615</v>
      </c>
      <c r="N8" s="107">
        <f t="shared" si="4"/>
        <v>0.28576041330319663</v>
      </c>
      <c r="O8" s="107">
        <f t="shared" ref="O8:O12" si="7">IF(J8&lt;&gt;0,(J8-K8)/J8,"")</f>
        <v>0.49333333333333335</v>
      </c>
      <c r="P8" s="107">
        <f t="shared" ref="P8:P11" si="8">IF(J8&lt;&gt;0,(J8-L8)/J8,"")</f>
        <v>0.49333333333333335</v>
      </c>
      <c r="Q8" s="153" t="s">
        <v>119</v>
      </c>
    </row>
    <row r="9" spans="1:19" s="145" customFormat="1" ht="14.1">
      <c r="A9" s="156" t="str">
        <f t="shared" ref="A9:A12" si="9">IF(AND(D9&lt;&gt;"",$J$15&lt;&gt;""),D9*(1-$J$15),"")</f>
        <v/>
      </c>
      <c r="B9" s="147" t="s">
        <v>120</v>
      </c>
      <c r="C9" s="70" t="s">
        <v>114</v>
      </c>
      <c r="D9" s="148">
        <v>700</v>
      </c>
      <c r="E9" s="154">
        <v>320</v>
      </c>
      <c r="F9" s="150" t="str">
        <f t="shared" si="5"/>
        <v/>
      </c>
      <c r="G9" s="148"/>
      <c r="H9" s="151" t="str">
        <f t="shared" si="0"/>
        <v/>
      </c>
      <c r="I9" s="152">
        <f>WORKLOAD!K96</f>
        <v>37.5</v>
      </c>
      <c r="J9" s="85">
        <f t="shared" si="6"/>
        <v>26250</v>
      </c>
      <c r="K9" s="85">
        <f t="shared" si="1"/>
        <v>12000</v>
      </c>
      <c r="L9" s="85">
        <f>IFERROR(IF(C9="FO",E9*I9,H9*I9),0)</f>
        <v>12000</v>
      </c>
      <c r="M9" s="107">
        <f t="shared" si="3"/>
        <v>0.36057692307692307</v>
      </c>
      <c r="N9" s="107">
        <f t="shared" si="4"/>
        <v>0.33903777849531808</v>
      </c>
      <c r="O9" s="107">
        <f t="shared" si="7"/>
        <v>0.54285714285714282</v>
      </c>
      <c r="P9" s="107">
        <f t="shared" si="8"/>
        <v>0.54285714285714282</v>
      </c>
      <c r="Q9" s="145" t="s">
        <v>121</v>
      </c>
    </row>
    <row r="10" spans="1:19" s="145" customFormat="1" ht="14.1">
      <c r="A10" s="156" t="str">
        <f t="shared" si="9"/>
        <v/>
      </c>
      <c r="B10" s="147" t="s">
        <v>122</v>
      </c>
      <c r="C10" s="70" t="s">
        <v>114</v>
      </c>
      <c r="D10" s="148">
        <v>800</v>
      </c>
      <c r="E10" s="154">
        <v>380</v>
      </c>
      <c r="F10" s="150" t="str">
        <f t="shared" si="5"/>
        <v/>
      </c>
      <c r="G10" s="148"/>
      <c r="H10" s="151" t="str">
        <f t="shared" si="0"/>
        <v/>
      </c>
      <c r="I10" s="152">
        <f>WORKLOAD!L96</f>
        <v>5</v>
      </c>
      <c r="J10" s="85">
        <f t="shared" si="6"/>
        <v>4000</v>
      </c>
      <c r="K10" s="85">
        <f>E10*I10</f>
        <v>1900</v>
      </c>
      <c r="L10" s="85">
        <f t="shared" si="2"/>
        <v>1900</v>
      </c>
      <c r="M10" s="107">
        <f t="shared" si="3"/>
        <v>4.807692307692308E-2</v>
      </c>
      <c r="N10" s="107">
        <f t="shared" si="4"/>
        <v>5.1662899580238938E-2</v>
      </c>
      <c r="O10" s="107">
        <f t="shared" si="7"/>
        <v>0.52500000000000002</v>
      </c>
      <c r="P10" s="107">
        <f t="shared" si="8"/>
        <v>0.52500000000000002</v>
      </c>
    </row>
    <row r="11" spans="1:19" s="145" customFormat="1" ht="14.1">
      <c r="A11" s="156" t="str">
        <f t="shared" si="9"/>
        <v/>
      </c>
      <c r="B11" s="147"/>
      <c r="C11" s="70"/>
      <c r="D11" s="148"/>
      <c r="E11" s="154"/>
      <c r="F11" s="150" t="str">
        <f t="shared" si="5"/>
        <v/>
      </c>
      <c r="G11" s="148"/>
      <c r="H11" s="151" t="str">
        <f t="shared" si="0"/>
        <v/>
      </c>
      <c r="I11" s="152">
        <f>WORKLOAD!M96</f>
        <v>0</v>
      </c>
      <c r="J11" s="85">
        <f t="shared" si="6"/>
        <v>0</v>
      </c>
      <c r="K11" s="85">
        <f>E11*I11</f>
        <v>0</v>
      </c>
      <c r="L11" s="85">
        <f t="shared" si="2"/>
        <v>0</v>
      </c>
      <c r="M11" s="107" t="str">
        <f t="shared" si="3"/>
        <v/>
      </c>
      <c r="N11" s="107" t="str">
        <f t="shared" si="4"/>
        <v/>
      </c>
      <c r="O11" s="107" t="str">
        <f t="shared" si="7"/>
        <v/>
      </c>
      <c r="P11" s="107" t="str">
        <f t="shared" si="8"/>
        <v/>
      </c>
    </row>
    <row r="12" spans="1:19" s="145" customFormat="1" ht="14.1">
      <c r="A12" s="156" t="str">
        <f t="shared" si="9"/>
        <v/>
      </c>
      <c r="B12" s="147"/>
      <c r="C12" s="70"/>
      <c r="D12" s="148"/>
      <c r="E12" s="149"/>
      <c r="F12" s="150" t="str">
        <f t="shared" si="5"/>
        <v/>
      </c>
      <c r="G12" s="148"/>
      <c r="H12" s="151" t="str">
        <f>IFERROR(IF(C12="CESSION",(((D12-E12)/2)+E12)+((G12/2)/I12),IF(C12="ACHAT",E12,IF(OR( C12="BO",C12="ACHAT BO"), F12+G12/I12,""))),"")</f>
        <v/>
      </c>
      <c r="I12" s="152">
        <f>WORKLOAD!N96</f>
        <v>0</v>
      </c>
      <c r="J12" s="85">
        <f t="shared" si="6"/>
        <v>0</v>
      </c>
      <c r="K12" s="85">
        <f t="shared" si="1"/>
        <v>0</v>
      </c>
      <c r="L12" s="85">
        <f t="shared" si="2"/>
        <v>0</v>
      </c>
      <c r="M12" s="107" t="str">
        <f t="shared" si="3"/>
        <v/>
      </c>
      <c r="N12" s="107" t="str">
        <f t="shared" si="4"/>
        <v/>
      </c>
      <c r="O12" s="107" t="str">
        <f t="shared" si="7"/>
        <v/>
      </c>
      <c r="P12" s="107" t="str">
        <f>IF(J12&lt;&gt;0,(J12-L12)/J12,"")</f>
        <v/>
      </c>
    </row>
    <row r="13" spans="1:19" s="145" customFormat="1" ht="14.1">
      <c r="A13" s="157"/>
      <c r="B13" s="30" t="s">
        <v>123</v>
      </c>
      <c r="C13" s="155"/>
      <c r="D13" s="155"/>
      <c r="E13" s="155"/>
      <c r="F13" s="155"/>
      <c r="G13" s="155"/>
      <c r="H13" s="155"/>
      <c r="I13" s="32">
        <f>SUBTOTAL(9,I6:I12)</f>
        <v>104</v>
      </c>
      <c r="J13" s="28">
        <f>SUBTOTAL(9,J6:J12)</f>
        <v>77425</v>
      </c>
      <c r="K13" s="28">
        <f>SUBTOTAL(9,K6:K12)</f>
        <v>38120</v>
      </c>
      <c r="L13" s="28">
        <f>SUBTOTAL(9,L6:L12)</f>
        <v>38120</v>
      </c>
      <c r="O13" s="103">
        <f>IF(J13&lt;&gt;0,(J13-K13)/J13,"")</f>
        <v>0.50765256700032291</v>
      </c>
      <c r="P13" s="103">
        <f>IF(J13&lt;&gt;0,(J13-L13)/J13,"")</f>
        <v>0.50765256700032291</v>
      </c>
    </row>
    <row r="14" spans="1:19">
      <c r="I14" s="114" t="s">
        <v>124</v>
      </c>
      <c r="J14" s="141"/>
      <c r="P14" s="38"/>
    </row>
    <row r="15" spans="1:19">
      <c r="B15" s="104" t="s">
        <v>125</v>
      </c>
      <c r="D15"/>
      <c r="E15"/>
      <c r="I15" s="115" t="s">
        <v>126</v>
      </c>
      <c r="J15" s="142"/>
    </row>
    <row r="16" spans="1:19" ht="14.45">
      <c r="B16" s="186" t="s">
        <v>127</v>
      </c>
      <c r="C16" s="186"/>
      <c r="D16" s="169" t="s">
        <v>128</v>
      </c>
      <c r="E16" s="169" t="s">
        <v>129</v>
      </c>
      <c r="F16" s="169" t="s">
        <v>130</v>
      </c>
      <c r="G16" s="169" t="s">
        <v>131</v>
      </c>
    </row>
    <row r="17" spans="1:7" ht="14.45">
      <c r="B17" s="191" t="s">
        <v>132</v>
      </c>
      <c r="C17" s="191"/>
      <c r="D17" s="170">
        <v>500</v>
      </c>
      <c r="E17" s="171">
        <v>300</v>
      </c>
      <c r="F17" s="170">
        <v>418.33333333333337</v>
      </c>
      <c r="G17" s="171">
        <v>251</v>
      </c>
    </row>
    <row r="18" spans="1:7" ht="14.45">
      <c r="B18" s="191" t="s">
        <v>133</v>
      </c>
      <c r="C18" s="191">
        <v>359</v>
      </c>
      <c r="D18" s="170">
        <v>575</v>
      </c>
      <c r="E18" s="171">
        <v>345</v>
      </c>
      <c r="F18" s="170">
        <v>458.33333333333337</v>
      </c>
      <c r="G18" s="171">
        <v>275</v>
      </c>
    </row>
    <row r="19" spans="1:7" ht="14.45">
      <c r="B19" s="191" t="s">
        <v>134</v>
      </c>
      <c r="C19" s="191">
        <v>359</v>
      </c>
      <c r="D19" s="170">
        <v>708.33333333333337</v>
      </c>
      <c r="E19" s="171">
        <v>425</v>
      </c>
      <c r="F19" s="170">
        <v>558.33333333333337</v>
      </c>
      <c r="G19" s="171">
        <v>335</v>
      </c>
    </row>
    <row r="20" spans="1:7" ht="14.45">
      <c r="B20" s="191" t="s">
        <v>135</v>
      </c>
      <c r="C20" s="191">
        <v>481</v>
      </c>
      <c r="D20" s="170">
        <v>733.33333333333337</v>
      </c>
      <c r="E20" s="171">
        <v>440</v>
      </c>
      <c r="F20" s="170">
        <v>633.33333333333337</v>
      </c>
      <c r="G20" s="171">
        <v>380</v>
      </c>
    </row>
    <row r="21" spans="1:7" ht="14.45">
      <c r="B21" s="191" t="s">
        <v>136</v>
      </c>
      <c r="C21" s="191">
        <v>359</v>
      </c>
      <c r="D21" s="170">
        <v>833.33333333333337</v>
      </c>
      <c r="E21" s="171">
        <v>500</v>
      </c>
      <c r="F21" s="170">
        <v>733.33333333333337</v>
      </c>
      <c r="G21" s="171">
        <v>440</v>
      </c>
    </row>
    <row r="22" spans="1:7" ht="14.45">
      <c r="B22" s="191" t="s">
        <v>116</v>
      </c>
      <c r="C22" s="191"/>
      <c r="D22" s="170">
        <v>816.66666666666674</v>
      </c>
      <c r="E22" s="171">
        <v>490</v>
      </c>
      <c r="F22" s="170">
        <v>658.33333333333337</v>
      </c>
      <c r="G22" s="171">
        <v>395</v>
      </c>
    </row>
    <row r="23" spans="1:7" ht="14.45">
      <c r="B23" s="191" t="s">
        <v>137</v>
      </c>
      <c r="C23" s="191">
        <v>481</v>
      </c>
      <c r="D23" s="170">
        <v>916.66666666666674</v>
      </c>
      <c r="E23" s="171">
        <v>550</v>
      </c>
      <c r="F23" s="170">
        <v>766.66666666666674</v>
      </c>
      <c r="G23" s="171">
        <v>460</v>
      </c>
    </row>
    <row r="24" spans="1:7" ht="14.45">
      <c r="B24" s="191" t="s">
        <v>113</v>
      </c>
      <c r="C24" s="191">
        <v>481</v>
      </c>
      <c r="D24" s="170">
        <v>733.33333333333337</v>
      </c>
      <c r="E24" s="171">
        <v>440</v>
      </c>
      <c r="F24" s="170">
        <v>616.66666666666674</v>
      </c>
      <c r="G24" s="171">
        <v>370</v>
      </c>
    </row>
    <row r="25" spans="1:7" ht="14.45">
      <c r="B25" s="191" t="s">
        <v>138</v>
      </c>
      <c r="C25" s="191"/>
      <c r="D25" s="170">
        <v>808.33333333333337</v>
      </c>
      <c r="E25" s="171">
        <v>485</v>
      </c>
      <c r="F25" s="170">
        <v>683.33333333333337</v>
      </c>
      <c r="G25" s="171">
        <v>410</v>
      </c>
    </row>
    <row r="26" spans="1:7" ht="14.45">
      <c r="B26" s="191" t="s">
        <v>139</v>
      </c>
      <c r="C26" s="191">
        <v>290</v>
      </c>
      <c r="D26" s="170">
        <v>966.66666666666674</v>
      </c>
      <c r="E26" s="171">
        <v>580</v>
      </c>
      <c r="F26" s="170">
        <v>833.33333333333337</v>
      </c>
      <c r="G26" s="171">
        <v>500</v>
      </c>
    </row>
    <row r="27" spans="1:7" ht="14.45">
      <c r="B27" s="191" t="s">
        <v>140</v>
      </c>
      <c r="C27" s="191">
        <v>359</v>
      </c>
      <c r="D27" s="170">
        <v>583.33333333333337</v>
      </c>
      <c r="E27" s="171">
        <v>350</v>
      </c>
      <c r="F27" s="170">
        <v>491.66666666666669</v>
      </c>
      <c r="G27" s="171">
        <v>295</v>
      </c>
    </row>
    <row r="28" spans="1:7">
      <c r="A28"/>
      <c r="B28" s="191" t="s">
        <v>141</v>
      </c>
      <c r="C28" s="191"/>
      <c r="D28" s="170">
        <v>650</v>
      </c>
      <c r="E28" s="171">
        <v>390</v>
      </c>
      <c r="F28" s="170">
        <v>575</v>
      </c>
      <c r="G28" s="171">
        <v>345</v>
      </c>
    </row>
    <row r="29" spans="1:7">
      <c r="A29"/>
      <c r="B29" s="191" t="s">
        <v>142</v>
      </c>
      <c r="C29" s="191"/>
      <c r="D29" s="170">
        <v>775</v>
      </c>
      <c r="E29" s="171">
        <v>465</v>
      </c>
      <c r="F29" s="170">
        <v>683.33333333333337</v>
      </c>
      <c r="G29" s="171">
        <v>410</v>
      </c>
    </row>
    <row r="30" spans="1:7" ht="17.100000000000001" customHeight="1">
      <c r="A30"/>
      <c r="B30" s="191" t="s">
        <v>143</v>
      </c>
      <c r="C30" s="191"/>
      <c r="D30" s="170">
        <v>1066.6666666666667</v>
      </c>
      <c r="E30" s="171">
        <v>640</v>
      </c>
      <c r="F30" s="170">
        <v>766.66666666666674</v>
      </c>
      <c r="G30" s="171">
        <v>460</v>
      </c>
    </row>
    <row r="31" spans="1:7">
      <c r="A31"/>
      <c r="B31" s="191" t="s">
        <v>144</v>
      </c>
      <c r="C31" s="191">
        <v>290</v>
      </c>
      <c r="D31" s="170">
        <v>1033.3333333333335</v>
      </c>
      <c r="E31" s="171">
        <v>620</v>
      </c>
      <c r="F31" s="170">
        <v>816.66666666666674</v>
      </c>
      <c r="G31" s="171">
        <v>490</v>
      </c>
    </row>
    <row r="32" spans="1:7">
      <c r="A32"/>
    </row>
    <row r="33" spans="1:6">
      <c r="A33"/>
      <c r="B33" s="104" t="s">
        <v>145</v>
      </c>
      <c r="C33" s="104"/>
      <c r="D33" s="104"/>
      <c r="E33"/>
    </row>
    <row r="34" spans="1:6" ht="14.45">
      <c r="B34" s="172"/>
      <c r="C34" s="172"/>
      <c r="D34" s="172"/>
      <c r="E34" s="173"/>
      <c r="F34" s="174"/>
    </row>
    <row r="35" spans="1:6" ht="14.1">
      <c r="A35" s="5"/>
      <c r="C35" s="5"/>
    </row>
    <row r="36" spans="1:6" ht="14.1">
      <c r="A36" s="5"/>
      <c r="C36" s="5"/>
    </row>
    <row r="37" spans="1:6" ht="14.1">
      <c r="A37" s="5"/>
      <c r="C37" s="5"/>
    </row>
    <row r="38" spans="1:6" ht="14.1">
      <c r="A38" s="5"/>
      <c r="C38" s="5"/>
    </row>
    <row r="39" spans="1:6" ht="14.1">
      <c r="A39" s="5"/>
      <c r="C39" s="5"/>
    </row>
    <row r="40" spans="1:6" ht="14.1">
      <c r="A40" s="5"/>
      <c r="C40" s="5"/>
    </row>
    <row r="41" spans="1:6" ht="14.1">
      <c r="A41" s="5"/>
      <c r="C41" s="5"/>
    </row>
    <row r="42" spans="1:6" ht="14.1">
      <c r="A42" s="5"/>
      <c r="C42" s="5"/>
    </row>
    <row r="43" spans="1:6" ht="14.1">
      <c r="A43" s="5"/>
      <c r="C43" s="5"/>
    </row>
    <row r="44" spans="1:6" ht="14.1">
      <c r="A44" s="5"/>
      <c r="C44" s="5"/>
    </row>
    <row r="45" spans="1:6" ht="14.1">
      <c r="A45" s="5"/>
      <c r="C45" s="5"/>
    </row>
    <row r="46" spans="1:6" ht="14.1">
      <c r="A46" s="5"/>
      <c r="C46" s="5"/>
    </row>
    <row r="47" spans="1:6" ht="14.1">
      <c r="A47" s="5"/>
      <c r="C47" s="5"/>
    </row>
  </sheetData>
  <mergeCells count="16">
    <mergeCell ref="B30:C30"/>
    <mergeCell ref="B31:C31"/>
    <mergeCell ref="B16:C16"/>
    <mergeCell ref="B19:C19"/>
    <mergeCell ref="B20:C20"/>
    <mergeCell ref="B21:C21"/>
    <mergeCell ref="B18:C18"/>
    <mergeCell ref="B23:C23"/>
    <mergeCell ref="B25:C25"/>
    <mergeCell ref="B26:C26"/>
    <mergeCell ref="B27:C27"/>
    <mergeCell ref="B28:C28"/>
    <mergeCell ref="B17:C17"/>
    <mergeCell ref="B22:C22"/>
    <mergeCell ref="B24:C24"/>
    <mergeCell ref="B29:C29"/>
  </mergeCells>
  <dataValidations count="2">
    <dataValidation type="list" allowBlank="1" showInputMessage="1" showErrorMessage="1" sqref="B6:B12" xr:uid="{00000000-0002-0000-0100-000000000000}">
      <formula1>PROFIL</formula1>
    </dataValidation>
    <dataValidation type="list" allowBlank="1" showInputMessage="1" showErrorMessage="1" sqref="C6:C12" xr:uid="{00000000-0002-0000-0100-000001000000}">
      <formula1>"FO,BO,CESSION,ACHAT,ACHAT BO"</formula1>
    </dataValidation>
  </dataValidations>
  <pageMargins left="0.7" right="0.7" top="0.75" bottom="0.75" header="0.3" footer="0.3"/>
  <pageSetup paperSize="9" orientation="portrait" horizontalDpi="4294967293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91EE-F555-48DB-9C84-27BCEEF32C6A}">
  <sheetPr codeName="Feuil12"/>
  <dimension ref="A1:AB33"/>
  <sheetViews>
    <sheetView showGridLines="0" workbookViewId="0">
      <selection activeCell="D21" sqref="D21"/>
    </sheetView>
  </sheetViews>
  <sheetFormatPr defaultColWidth="11" defaultRowHeight="14.1"/>
  <cols>
    <col min="1" max="1" width="32.125" style="5" customWidth="1"/>
    <col min="2" max="2" width="13" style="5" customWidth="1"/>
    <col min="3" max="3" width="9.625" style="5" bestFit="1" customWidth="1"/>
    <col min="4" max="4" width="9.625" style="123" customWidth="1"/>
    <col min="5" max="5" width="13" style="5" customWidth="1"/>
    <col min="6" max="6" width="10.25" style="5" customWidth="1"/>
    <col min="7" max="7" width="13.75" style="5" bestFit="1" customWidth="1"/>
    <col min="8" max="8" width="10.25" style="5" customWidth="1"/>
    <col min="9" max="9" width="35.625" style="5" customWidth="1"/>
    <col min="10" max="16384" width="11" style="5"/>
  </cols>
  <sheetData>
    <row r="1" spans="1:28" ht="33" customHeight="1">
      <c r="A1" s="13" t="s">
        <v>146</v>
      </c>
      <c r="B1" s="13"/>
      <c r="C1" s="13"/>
      <c r="D1" s="13"/>
      <c r="E1" s="13"/>
      <c r="F1" s="13"/>
      <c r="G1" s="13"/>
      <c r="H1" s="13"/>
      <c r="I1" s="4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2"/>
      <c r="X1" s="2"/>
      <c r="Y1" s="2"/>
      <c r="Z1" s="2"/>
      <c r="AA1" s="2"/>
      <c r="AB1" s="2"/>
    </row>
    <row r="2" spans="1:28">
      <c r="A2" s="8"/>
      <c r="B2" s="8"/>
      <c r="C2" s="8"/>
      <c r="D2" s="120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8">
      <c r="A3" s="8"/>
      <c r="B3" s="8"/>
      <c r="C3" s="8"/>
      <c r="D3" s="120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28">
      <c r="A4" s="37" t="s">
        <v>147</v>
      </c>
      <c r="B4" s="37" t="s">
        <v>148</v>
      </c>
      <c r="C4" s="31" t="s">
        <v>149</v>
      </c>
      <c r="D4" s="31" t="s">
        <v>150</v>
      </c>
      <c r="E4" s="31" t="s">
        <v>151</v>
      </c>
      <c r="F4" s="37"/>
      <c r="G4" s="37" t="s">
        <v>152</v>
      </c>
      <c r="H4" s="37" t="s">
        <v>153</v>
      </c>
      <c r="I4" s="37" t="s">
        <v>154</v>
      </c>
      <c r="J4" s="8"/>
      <c r="K4" s="8"/>
      <c r="L4" s="8"/>
      <c r="M4" s="8"/>
      <c r="N4" s="8"/>
      <c r="O4" s="8"/>
      <c r="P4" s="8"/>
    </row>
    <row r="5" spans="1:28">
      <c r="A5" s="64"/>
      <c r="B5" s="64"/>
      <c r="C5" s="119"/>
      <c r="D5" s="121"/>
      <c r="E5" s="124" t="str">
        <f t="shared" ref="E5:E16" si="0">IF(C5&gt;0,C5*D5,"")</f>
        <v/>
      </c>
      <c r="F5" s="124"/>
      <c r="G5" s="65"/>
      <c r="H5" s="112" t="str">
        <f>IFERROR((G5-E5)/G5,"")</f>
        <v/>
      </c>
      <c r="I5" s="64"/>
      <c r="J5" s="8"/>
      <c r="K5" s="8"/>
      <c r="L5" s="8"/>
      <c r="M5" s="8"/>
      <c r="N5" s="8"/>
      <c r="O5" s="8"/>
      <c r="P5" s="8"/>
    </row>
    <row r="6" spans="1:28">
      <c r="A6" s="64"/>
      <c r="B6" s="64"/>
      <c r="C6" s="65"/>
      <c r="D6" s="121"/>
      <c r="E6" s="124" t="str">
        <f t="shared" si="0"/>
        <v/>
      </c>
      <c r="F6" s="111"/>
      <c r="G6" s="65"/>
      <c r="H6" s="112" t="str">
        <f t="shared" ref="H6:H16" si="1">IFERROR((G6-E6)/G6,"")</f>
        <v/>
      </c>
      <c r="I6" s="64"/>
      <c r="J6" s="8"/>
      <c r="K6" s="8"/>
      <c r="L6" s="8"/>
      <c r="M6" s="8"/>
      <c r="N6" s="8"/>
      <c r="O6" s="8"/>
      <c r="P6" s="8"/>
    </row>
    <row r="7" spans="1:28">
      <c r="A7" s="64"/>
      <c r="B7" s="64"/>
      <c r="C7" s="65"/>
      <c r="D7" s="121"/>
      <c r="E7" s="124" t="str">
        <f t="shared" si="0"/>
        <v/>
      </c>
      <c r="F7" s="111"/>
      <c r="G7" s="65"/>
      <c r="H7" s="112" t="str">
        <f t="shared" si="1"/>
        <v/>
      </c>
      <c r="I7" s="64"/>
      <c r="J7" s="8"/>
      <c r="K7" s="8"/>
      <c r="L7" s="8"/>
      <c r="M7" s="8"/>
      <c r="N7" s="8"/>
      <c r="O7" s="8"/>
      <c r="P7" s="8"/>
    </row>
    <row r="8" spans="1:28">
      <c r="A8" s="64"/>
      <c r="B8" s="64"/>
      <c r="C8" s="65"/>
      <c r="D8" s="121"/>
      <c r="E8" s="124" t="str">
        <f t="shared" si="0"/>
        <v/>
      </c>
      <c r="F8" s="111"/>
      <c r="G8" s="65"/>
      <c r="H8" s="112" t="str">
        <f t="shared" si="1"/>
        <v/>
      </c>
      <c r="I8" s="64"/>
      <c r="J8" s="8"/>
      <c r="K8" s="8"/>
      <c r="L8" s="8"/>
      <c r="M8" s="8"/>
      <c r="N8" s="8"/>
      <c r="O8" s="8"/>
      <c r="P8" s="8"/>
    </row>
    <row r="9" spans="1:28">
      <c r="A9" s="64"/>
      <c r="B9" s="64"/>
      <c r="C9" s="65"/>
      <c r="D9" s="121"/>
      <c r="E9" s="124" t="str">
        <f t="shared" si="0"/>
        <v/>
      </c>
      <c r="F9" s="111"/>
      <c r="G9" s="65"/>
      <c r="H9" s="112" t="str">
        <f t="shared" si="1"/>
        <v/>
      </c>
      <c r="I9" s="64"/>
      <c r="J9" s="8"/>
      <c r="K9" s="8"/>
      <c r="L9" s="8"/>
      <c r="M9" s="8"/>
      <c r="N9" s="8"/>
      <c r="O9" s="8"/>
      <c r="P9" s="8"/>
    </row>
    <row r="10" spans="1:28">
      <c r="A10" s="64"/>
      <c r="B10" s="64"/>
      <c r="C10" s="65"/>
      <c r="D10" s="121"/>
      <c r="E10" s="124" t="str">
        <f t="shared" si="0"/>
        <v/>
      </c>
      <c r="F10" s="111"/>
      <c r="G10" s="65"/>
      <c r="H10" s="112" t="str">
        <f t="shared" si="1"/>
        <v/>
      </c>
      <c r="I10" s="64"/>
      <c r="J10" s="8"/>
      <c r="K10" s="8"/>
      <c r="L10" s="8"/>
      <c r="M10" s="8"/>
      <c r="N10" s="8"/>
      <c r="O10" s="8"/>
      <c r="P10" s="8"/>
    </row>
    <row r="11" spans="1:28">
      <c r="A11" s="64"/>
      <c r="B11" s="64"/>
      <c r="C11" s="65"/>
      <c r="D11" s="121"/>
      <c r="E11" s="124" t="str">
        <f t="shared" si="0"/>
        <v/>
      </c>
      <c r="F11" s="111"/>
      <c r="G11" s="65"/>
      <c r="H11" s="112" t="str">
        <f t="shared" si="1"/>
        <v/>
      </c>
      <c r="I11" s="64"/>
      <c r="J11" s="8"/>
      <c r="K11" s="8"/>
      <c r="L11" s="8"/>
      <c r="M11" s="8"/>
      <c r="N11" s="8"/>
      <c r="O11" s="8"/>
      <c r="P11" s="8"/>
    </row>
    <row r="12" spans="1:28">
      <c r="A12" s="64"/>
      <c r="B12" s="64"/>
      <c r="C12" s="65"/>
      <c r="D12" s="121"/>
      <c r="E12" s="124" t="str">
        <f t="shared" si="0"/>
        <v/>
      </c>
      <c r="F12" s="111"/>
      <c r="G12" s="65"/>
      <c r="H12" s="112" t="str">
        <f t="shared" si="1"/>
        <v/>
      </c>
      <c r="I12" s="64"/>
      <c r="J12" s="8"/>
      <c r="K12" s="8"/>
      <c r="L12" s="8"/>
      <c r="M12" s="8"/>
      <c r="N12" s="8"/>
      <c r="O12" s="8"/>
      <c r="P12" s="8"/>
    </row>
    <row r="13" spans="1:28">
      <c r="A13" s="64"/>
      <c r="B13" s="64"/>
      <c r="C13" s="65"/>
      <c r="D13" s="121"/>
      <c r="E13" s="124" t="str">
        <f t="shared" si="0"/>
        <v/>
      </c>
      <c r="F13" s="111"/>
      <c r="G13" s="65"/>
      <c r="H13" s="112" t="str">
        <f t="shared" si="1"/>
        <v/>
      </c>
      <c r="I13" s="64"/>
      <c r="J13" s="8"/>
      <c r="K13" s="8"/>
      <c r="L13" s="8"/>
      <c r="M13" s="8"/>
      <c r="N13" s="8"/>
      <c r="O13" s="8"/>
      <c r="P13" s="8"/>
    </row>
    <row r="14" spans="1:28">
      <c r="A14" s="64"/>
      <c r="B14" s="64"/>
      <c r="C14" s="65"/>
      <c r="D14" s="121"/>
      <c r="E14" s="124" t="str">
        <f t="shared" si="0"/>
        <v/>
      </c>
      <c r="F14" s="111"/>
      <c r="G14" s="65"/>
      <c r="H14" s="112" t="str">
        <f t="shared" si="1"/>
        <v/>
      </c>
      <c r="I14" s="64"/>
      <c r="J14" s="8"/>
      <c r="K14" s="8"/>
      <c r="L14" s="8"/>
      <c r="M14" s="8"/>
      <c r="N14" s="8"/>
      <c r="O14" s="8"/>
      <c r="P14" s="8"/>
    </row>
    <row r="15" spans="1:28">
      <c r="A15" s="64"/>
      <c r="B15" s="64"/>
      <c r="C15" s="65"/>
      <c r="D15" s="121"/>
      <c r="E15" s="124" t="str">
        <f t="shared" si="0"/>
        <v/>
      </c>
      <c r="F15" s="111"/>
      <c r="G15" s="65"/>
      <c r="H15" s="112" t="str">
        <f t="shared" si="1"/>
        <v/>
      </c>
      <c r="I15" s="64"/>
      <c r="J15" s="8"/>
      <c r="K15" s="8"/>
      <c r="L15" s="8"/>
      <c r="M15" s="8"/>
      <c r="N15" s="8"/>
      <c r="O15" s="8"/>
      <c r="P15" s="8"/>
    </row>
    <row r="16" spans="1:28">
      <c r="A16" s="64"/>
      <c r="B16" s="64"/>
      <c r="C16" s="65"/>
      <c r="D16" s="121"/>
      <c r="E16" s="124" t="str">
        <f t="shared" si="0"/>
        <v/>
      </c>
      <c r="F16" s="111"/>
      <c r="G16" s="65"/>
      <c r="H16" s="112" t="str">
        <f t="shared" si="1"/>
        <v/>
      </c>
      <c r="I16" s="64"/>
      <c r="J16" s="8"/>
      <c r="K16" s="8"/>
      <c r="L16" s="8"/>
      <c r="M16" s="8"/>
      <c r="N16" s="8"/>
      <c r="O16" s="8"/>
      <c r="P16" s="8"/>
    </row>
    <row r="17" spans="1:16">
      <c r="A17" s="51" t="s">
        <v>123</v>
      </c>
      <c r="B17" s="51"/>
      <c r="C17" s="67"/>
      <c r="D17" s="122"/>
      <c r="E17" s="125">
        <f>SUM(E5:E16)</f>
        <v>0</v>
      </c>
      <c r="F17" s="125"/>
      <c r="G17" s="66">
        <f>SUM(G5:G16)</f>
        <v>0</v>
      </c>
      <c r="H17" s="127" t="str">
        <f>IFERROR((G17-E17)/G17,"")</f>
        <v/>
      </c>
      <c r="I17" s="8"/>
      <c r="J17" s="8"/>
      <c r="K17" s="8"/>
      <c r="L17" s="8"/>
      <c r="M17" s="8"/>
      <c r="N17" s="8"/>
      <c r="O17" s="8"/>
      <c r="P17" s="8"/>
    </row>
    <row r="18" spans="1:16">
      <c r="A18" s="8"/>
      <c r="B18" s="8"/>
      <c r="C18" s="8"/>
      <c r="D18" s="120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>
      <c r="A19" s="8"/>
      <c r="B19" s="8"/>
      <c r="C19" s="8"/>
      <c r="D19" s="120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>
      <c r="A20" s="37" t="s">
        <v>155</v>
      </c>
      <c r="B20" s="37" t="s">
        <v>156</v>
      </c>
      <c r="C20" s="31" t="s">
        <v>157</v>
      </c>
      <c r="D20" s="31" t="s">
        <v>158</v>
      </c>
      <c r="E20" s="31" t="s">
        <v>159</v>
      </c>
      <c r="F20" s="31" t="s">
        <v>100</v>
      </c>
      <c r="G20" s="37" t="s">
        <v>152</v>
      </c>
      <c r="H20" s="37" t="s">
        <v>153</v>
      </c>
      <c r="I20" s="37" t="s">
        <v>154</v>
      </c>
      <c r="J20" s="8"/>
      <c r="K20" s="8"/>
      <c r="L20" s="8"/>
      <c r="M20" s="8"/>
      <c r="N20" s="8"/>
      <c r="O20" s="8"/>
      <c r="P20" s="8"/>
    </row>
    <row r="21" spans="1:16">
      <c r="A21" s="64"/>
      <c r="B21" s="64"/>
      <c r="C21" s="119"/>
      <c r="D21" s="121"/>
      <c r="E21" s="124" t="str">
        <f>IF(C21&gt;0,C21*D21,"")</f>
        <v/>
      </c>
      <c r="F21" s="65"/>
      <c r="G21" s="124" t="str">
        <f>IF(F21&gt;0,D21*F21,"")</f>
        <v/>
      </c>
      <c r="H21" s="112" t="str">
        <f>IFERROR((G21-E21)/G21,"")</f>
        <v/>
      </c>
      <c r="I21" s="64"/>
      <c r="J21" s="8"/>
      <c r="K21" s="8"/>
      <c r="L21" s="8"/>
      <c r="M21" s="8"/>
      <c r="N21" s="8"/>
      <c r="O21" s="8"/>
      <c r="P21" s="8"/>
    </row>
    <row r="22" spans="1:16">
      <c r="A22" s="64"/>
      <c r="B22" s="64"/>
      <c r="C22" s="65"/>
      <c r="D22" s="121"/>
      <c r="E22" s="124" t="str">
        <f>IF(C22&gt;0,C22*D22,"")</f>
        <v/>
      </c>
      <c r="F22" s="65"/>
      <c r="G22" s="124" t="str">
        <f t="shared" ref="G22:G32" si="2">IF(F22&gt;0,D22*F22,"")</f>
        <v/>
      </c>
      <c r="H22" s="112" t="str">
        <f>IFERROR((G22-E22)/G22,"")</f>
        <v/>
      </c>
      <c r="I22" s="64"/>
      <c r="J22" s="8"/>
      <c r="K22" s="8"/>
      <c r="L22" s="8"/>
      <c r="M22" s="8"/>
      <c r="N22" s="8"/>
      <c r="O22" s="8"/>
      <c r="P22" s="8"/>
    </row>
    <row r="23" spans="1:16">
      <c r="A23" s="64"/>
      <c r="B23" s="64"/>
      <c r="C23" s="65"/>
      <c r="D23" s="121"/>
      <c r="E23" s="124" t="str">
        <f t="shared" ref="E23:E32" si="3">IF(C23&gt;0,C23*D23,"")</f>
        <v/>
      </c>
      <c r="F23" s="65"/>
      <c r="G23" s="124" t="str">
        <f t="shared" si="2"/>
        <v/>
      </c>
      <c r="H23" s="112" t="str">
        <f t="shared" ref="H23:H33" si="4">IFERROR((G23-E23)/G23,"")</f>
        <v/>
      </c>
      <c r="I23" s="64"/>
      <c r="J23" s="8"/>
      <c r="K23" s="8"/>
      <c r="L23" s="8"/>
      <c r="M23" s="8"/>
      <c r="N23" s="8"/>
      <c r="O23" s="8"/>
      <c r="P23" s="8"/>
    </row>
    <row r="24" spans="1:16">
      <c r="A24" s="64"/>
      <c r="B24" s="64"/>
      <c r="C24" s="65"/>
      <c r="D24" s="121"/>
      <c r="E24" s="124" t="str">
        <f t="shared" si="3"/>
        <v/>
      </c>
      <c r="F24" s="65"/>
      <c r="G24" s="124" t="str">
        <f t="shared" si="2"/>
        <v/>
      </c>
      <c r="H24" s="112" t="str">
        <f t="shared" si="4"/>
        <v/>
      </c>
      <c r="I24" s="64"/>
      <c r="J24" s="8"/>
      <c r="K24" s="8"/>
      <c r="L24" s="8"/>
      <c r="M24" s="8"/>
      <c r="N24" s="8"/>
      <c r="O24" s="8"/>
      <c r="P24" s="8"/>
    </row>
    <row r="25" spans="1:16">
      <c r="A25" s="64"/>
      <c r="B25" s="64"/>
      <c r="C25" s="65"/>
      <c r="D25" s="121"/>
      <c r="E25" s="124" t="str">
        <f t="shared" si="3"/>
        <v/>
      </c>
      <c r="F25" s="65"/>
      <c r="G25" s="124" t="str">
        <f t="shared" si="2"/>
        <v/>
      </c>
      <c r="H25" s="112" t="str">
        <f t="shared" si="4"/>
        <v/>
      </c>
      <c r="I25" s="64"/>
      <c r="J25" s="8"/>
      <c r="K25" s="8"/>
      <c r="L25" s="8"/>
      <c r="M25" s="8"/>
      <c r="N25" s="8"/>
      <c r="O25" s="8"/>
      <c r="P25" s="8"/>
    </row>
    <row r="26" spans="1:16">
      <c r="A26" s="64"/>
      <c r="B26" s="64"/>
      <c r="C26" s="65"/>
      <c r="D26" s="121"/>
      <c r="E26" s="124" t="str">
        <f t="shared" si="3"/>
        <v/>
      </c>
      <c r="F26" s="65"/>
      <c r="G26" s="124" t="str">
        <f t="shared" si="2"/>
        <v/>
      </c>
      <c r="H26" s="112" t="str">
        <f t="shared" si="4"/>
        <v/>
      </c>
      <c r="I26" s="64"/>
      <c r="J26" s="8"/>
      <c r="K26" s="8"/>
      <c r="L26" s="8"/>
      <c r="M26" s="8"/>
      <c r="N26" s="8"/>
      <c r="O26" s="8"/>
      <c r="P26" s="8"/>
    </row>
    <row r="27" spans="1:16">
      <c r="A27" s="64"/>
      <c r="B27" s="64"/>
      <c r="C27" s="65"/>
      <c r="D27" s="121"/>
      <c r="E27" s="124" t="str">
        <f t="shared" si="3"/>
        <v/>
      </c>
      <c r="F27" s="65"/>
      <c r="G27" s="124" t="str">
        <f t="shared" si="2"/>
        <v/>
      </c>
      <c r="H27" s="112" t="str">
        <f t="shared" si="4"/>
        <v/>
      </c>
      <c r="I27" s="64"/>
      <c r="J27" s="8"/>
      <c r="K27" s="8"/>
      <c r="L27" s="8"/>
      <c r="M27" s="8"/>
      <c r="N27" s="8"/>
      <c r="O27" s="8"/>
      <c r="P27" s="8"/>
    </row>
    <row r="28" spans="1:16">
      <c r="A28" s="64"/>
      <c r="B28" s="64"/>
      <c r="C28" s="65"/>
      <c r="D28" s="121"/>
      <c r="E28" s="124" t="str">
        <f t="shared" si="3"/>
        <v/>
      </c>
      <c r="F28" s="65"/>
      <c r="G28" s="124" t="str">
        <f t="shared" si="2"/>
        <v/>
      </c>
      <c r="H28" s="112" t="str">
        <f t="shared" si="4"/>
        <v/>
      </c>
      <c r="I28" s="64"/>
      <c r="J28" s="8"/>
      <c r="K28" s="8"/>
      <c r="L28" s="8"/>
      <c r="M28" s="8"/>
      <c r="N28" s="8"/>
      <c r="O28" s="8"/>
      <c r="P28" s="8"/>
    </row>
    <row r="29" spans="1:16">
      <c r="A29" s="64"/>
      <c r="B29" s="64"/>
      <c r="C29" s="65"/>
      <c r="D29" s="121"/>
      <c r="E29" s="124" t="str">
        <f t="shared" si="3"/>
        <v/>
      </c>
      <c r="F29" s="65"/>
      <c r="G29" s="124" t="str">
        <f t="shared" si="2"/>
        <v/>
      </c>
      <c r="H29" s="112" t="str">
        <f t="shared" si="4"/>
        <v/>
      </c>
      <c r="I29" s="64"/>
      <c r="J29" s="8"/>
      <c r="K29" s="8"/>
      <c r="L29" s="8"/>
      <c r="M29" s="8"/>
      <c r="N29" s="8"/>
      <c r="O29" s="8"/>
      <c r="P29" s="8"/>
    </row>
    <row r="30" spans="1:16">
      <c r="A30" s="64"/>
      <c r="B30" s="64"/>
      <c r="C30" s="65"/>
      <c r="D30" s="121"/>
      <c r="E30" s="124" t="str">
        <f t="shared" si="3"/>
        <v/>
      </c>
      <c r="F30" s="65"/>
      <c r="G30" s="124" t="str">
        <f t="shared" si="2"/>
        <v/>
      </c>
      <c r="H30" s="112" t="str">
        <f t="shared" si="4"/>
        <v/>
      </c>
      <c r="I30" s="64"/>
      <c r="J30" s="8"/>
      <c r="K30" s="8"/>
      <c r="L30" s="8"/>
      <c r="M30" s="8"/>
      <c r="N30" s="8"/>
      <c r="O30" s="8"/>
      <c r="P30" s="8"/>
    </row>
    <row r="31" spans="1:16">
      <c r="A31" s="64"/>
      <c r="B31" s="64"/>
      <c r="C31" s="65"/>
      <c r="D31" s="121"/>
      <c r="E31" s="124" t="str">
        <f t="shared" si="3"/>
        <v/>
      </c>
      <c r="F31" s="65"/>
      <c r="G31" s="124" t="str">
        <f t="shared" si="2"/>
        <v/>
      </c>
      <c r="H31" s="112" t="str">
        <f t="shared" si="4"/>
        <v/>
      </c>
      <c r="I31" s="64"/>
      <c r="J31" s="8"/>
      <c r="K31" s="8"/>
      <c r="L31" s="8"/>
      <c r="M31" s="8"/>
      <c r="N31" s="8"/>
      <c r="O31" s="8"/>
      <c r="P31" s="8"/>
    </row>
    <row r="32" spans="1:16">
      <c r="A32" s="64"/>
      <c r="B32" s="64"/>
      <c r="C32" s="65"/>
      <c r="D32" s="121"/>
      <c r="E32" s="124" t="str">
        <f t="shared" si="3"/>
        <v/>
      </c>
      <c r="F32" s="65"/>
      <c r="G32" s="124" t="str">
        <f t="shared" si="2"/>
        <v/>
      </c>
      <c r="H32" s="112" t="str">
        <f t="shared" si="4"/>
        <v/>
      </c>
      <c r="I32" s="64"/>
      <c r="J32" s="8"/>
      <c r="K32" s="8"/>
      <c r="L32" s="8"/>
      <c r="M32" s="8"/>
      <c r="N32" s="8"/>
      <c r="O32" s="8"/>
      <c r="P32" s="8"/>
    </row>
    <row r="33" spans="1:16">
      <c r="A33" s="51" t="s">
        <v>123</v>
      </c>
      <c r="B33" s="51"/>
      <c r="C33" s="67" t="str">
        <f>IFERROR(E33/D33,"")</f>
        <v/>
      </c>
      <c r="D33" s="126">
        <f>SUM(D21:D32)</f>
        <v>0</v>
      </c>
      <c r="E33" s="125">
        <f>SUM(E21:E32)</f>
        <v>0</v>
      </c>
      <c r="F33" s="125" t="str">
        <f>IFERROR(G33/D33,"")</f>
        <v/>
      </c>
      <c r="G33" s="66">
        <f>SUM(G21:G32)</f>
        <v>0</v>
      </c>
      <c r="H33" s="127" t="str">
        <f t="shared" si="4"/>
        <v/>
      </c>
      <c r="I33" s="8"/>
      <c r="J33" s="8"/>
      <c r="K33" s="8"/>
      <c r="L33" s="8"/>
      <c r="M33" s="8"/>
      <c r="N33" s="8"/>
      <c r="O33" s="8"/>
      <c r="P33" s="8"/>
    </row>
  </sheetData>
  <sheetProtection sheet="1" objects="1" scenarios="1"/>
  <dataValidations count="1">
    <dataValidation type="list" allowBlank="1" showInputMessage="1" showErrorMessage="1" sqref="B5:B16" xr:uid="{D9E0916C-69E0-43B5-916F-B7F95068B38D}">
      <formula1>TYPE_ACHAT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5FC77-8EDB-4D8E-AA31-662D66E87559}">
  <sheetPr codeName="Feuil11"/>
  <dimension ref="A1:Y20"/>
  <sheetViews>
    <sheetView showGridLines="0" workbookViewId="0">
      <selection activeCell="A6" sqref="A5:C6"/>
    </sheetView>
  </sheetViews>
  <sheetFormatPr defaultColWidth="11" defaultRowHeight="14.1"/>
  <cols>
    <col min="1" max="1" width="32.125" style="5" customWidth="1"/>
    <col min="2" max="2" width="9.625" style="5" bestFit="1" customWidth="1"/>
    <col min="3" max="3" width="9.625" style="123" customWidth="1"/>
    <col min="4" max="4" width="10.25" style="5" customWidth="1"/>
    <col min="5" max="5" width="13.75" style="5" bestFit="1" customWidth="1"/>
    <col min="6" max="6" width="35.625" style="5" customWidth="1"/>
    <col min="7" max="16384" width="11" style="5"/>
  </cols>
  <sheetData>
    <row r="1" spans="1:25" ht="33" customHeight="1">
      <c r="A1" s="13" t="s">
        <v>160</v>
      </c>
      <c r="B1" s="13"/>
      <c r="C1" s="13"/>
      <c r="D1" s="13"/>
      <c r="E1" s="13"/>
      <c r="F1" s="4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2"/>
      <c r="U1" s="2"/>
      <c r="V1" s="2"/>
      <c r="W1" s="2"/>
      <c r="X1" s="2"/>
      <c r="Y1" s="2"/>
    </row>
    <row r="2" spans="1:25">
      <c r="A2" s="8"/>
      <c r="B2" s="8"/>
      <c r="C2" s="120"/>
      <c r="D2" s="8"/>
      <c r="E2" s="8"/>
      <c r="F2" s="8"/>
      <c r="G2" s="8"/>
      <c r="H2" s="8"/>
      <c r="I2" s="8"/>
      <c r="J2" s="8"/>
      <c r="K2" s="8"/>
      <c r="L2" s="8"/>
      <c r="M2" s="8"/>
    </row>
    <row r="3" spans="1:25">
      <c r="A3" s="8"/>
      <c r="B3" s="8"/>
      <c r="C3" s="120"/>
      <c r="D3" s="8"/>
      <c r="E3" s="8"/>
      <c r="F3" s="8"/>
      <c r="G3" s="8"/>
      <c r="H3" s="8"/>
      <c r="I3" s="8"/>
      <c r="J3" s="8"/>
      <c r="K3" s="8"/>
      <c r="L3" s="8"/>
      <c r="M3" s="8"/>
    </row>
    <row r="4" spans="1:25">
      <c r="A4" s="37" t="s">
        <v>161</v>
      </c>
      <c r="B4" s="31" t="s">
        <v>149</v>
      </c>
      <c r="C4" s="31" t="s">
        <v>150</v>
      </c>
      <c r="D4" s="37" t="s">
        <v>162</v>
      </c>
      <c r="E4" s="37" t="s">
        <v>163</v>
      </c>
      <c r="F4" s="37" t="s">
        <v>154</v>
      </c>
      <c r="G4" s="8"/>
      <c r="H4" s="8"/>
      <c r="I4" s="8"/>
      <c r="J4" s="8"/>
      <c r="K4" s="8"/>
      <c r="L4" s="8"/>
      <c r="M4" s="8"/>
    </row>
    <row r="5" spans="1:25">
      <c r="A5" s="64" t="s">
        <v>164</v>
      </c>
      <c r="B5" s="119">
        <v>500</v>
      </c>
      <c r="C5" s="121">
        <v>15</v>
      </c>
      <c r="D5" s="124">
        <f>IF(C5&gt;0,B5*C5,"")</f>
        <v>7500</v>
      </c>
      <c r="E5" s="65">
        <v>7500</v>
      </c>
      <c r="F5" s="64"/>
      <c r="G5" s="8"/>
      <c r="H5" s="8"/>
      <c r="I5" s="8"/>
      <c r="J5" s="8"/>
      <c r="K5" s="8"/>
      <c r="L5" s="8"/>
      <c r="M5" s="8"/>
    </row>
    <row r="6" spans="1:25">
      <c r="A6" s="64" t="s">
        <v>165</v>
      </c>
      <c r="B6" s="65">
        <v>500</v>
      </c>
      <c r="C6" s="121">
        <v>20</v>
      </c>
      <c r="D6" s="124">
        <f t="shared" ref="D6:D16" si="0">IF(C6&gt;0,B6*C6,"")</f>
        <v>10000</v>
      </c>
      <c r="E6" s="65">
        <v>10000</v>
      </c>
      <c r="F6" s="64"/>
      <c r="G6" s="8"/>
      <c r="H6" s="8"/>
      <c r="I6" s="8"/>
      <c r="J6" s="8"/>
      <c r="K6" s="8"/>
      <c r="L6" s="8"/>
      <c r="M6" s="8"/>
    </row>
    <row r="7" spans="1:25">
      <c r="A7" s="64"/>
      <c r="B7" s="65"/>
      <c r="C7" s="121"/>
      <c r="D7" s="124" t="str">
        <f t="shared" si="0"/>
        <v/>
      </c>
      <c r="E7" s="65"/>
      <c r="F7" s="64"/>
      <c r="G7" s="8"/>
      <c r="H7" s="8"/>
      <c r="I7" s="8"/>
      <c r="J7" s="8"/>
      <c r="K7" s="8"/>
      <c r="L7" s="8"/>
      <c r="M7" s="8"/>
    </row>
    <row r="8" spans="1:25">
      <c r="A8" s="64"/>
      <c r="B8" s="65"/>
      <c r="C8" s="121"/>
      <c r="D8" s="124" t="str">
        <f t="shared" si="0"/>
        <v/>
      </c>
      <c r="E8" s="65"/>
      <c r="F8" s="64"/>
      <c r="G8" s="8"/>
      <c r="H8" s="8"/>
      <c r="I8" s="8"/>
      <c r="J8" s="8"/>
      <c r="K8" s="8"/>
      <c r="L8" s="8"/>
      <c r="M8" s="8"/>
    </row>
    <row r="9" spans="1:25">
      <c r="A9" s="64"/>
      <c r="B9" s="65"/>
      <c r="C9" s="121"/>
      <c r="D9" s="124" t="str">
        <f t="shared" si="0"/>
        <v/>
      </c>
      <c r="E9" s="65"/>
      <c r="F9" s="64"/>
      <c r="G9" s="8"/>
      <c r="H9" s="8"/>
      <c r="I9" s="8"/>
      <c r="J9" s="8"/>
      <c r="K9" s="8"/>
      <c r="L9" s="8"/>
      <c r="M9" s="8"/>
    </row>
    <row r="10" spans="1:25">
      <c r="A10" s="64"/>
      <c r="B10" s="65"/>
      <c r="C10" s="121"/>
      <c r="D10" s="124" t="str">
        <f t="shared" si="0"/>
        <v/>
      </c>
      <c r="E10" s="65"/>
      <c r="F10" s="64"/>
      <c r="G10" s="8"/>
      <c r="H10" s="8"/>
      <c r="I10" s="8"/>
      <c r="J10" s="8"/>
      <c r="K10" s="8"/>
      <c r="L10" s="8"/>
      <c r="M10" s="8"/>
    </row>
    <row r="11" spans="1:25">
      <c r="A11" s="64"/>
      <c r="B11" s="65"/>
      <c r="C11" s="121"/>
      <c r="D11" s="124" t="str">
        <f t="shared" si="0"/>
        <v/>
      </c>
      <c r="E11" s="65"/>
      <c r="F11" s="64"/>
      <c r="G11" s="8"/>
      <c r="H11" s="8"/>
      <c r="I11" s="8"/>
      <c r="J11" s="8"/>
      <c r="K11" s="8"/>
      <c r="L11" s="8"/>
      <c r="M11" s="8"/>
    </row>
    <row r="12" spans="1:25">
      <c r="A12" s="64"/>
      <c r="B12" s="65"/>
      <c r="C12" s="121"/>
      <c r="D12" s="124" t="str">
        <f t="shared" si="0"/>
        <v/>
      </c>
      <c r="E12" s="65"/>
      <c r="F12" s="64"/>
      <c r="G12" s="8"/>
      <c r="H12" s="8"/>
      <c r="I12" s="8"/>
      <c r="J12" s="8"/>
      <c r="K12" s="8"/>
      <c r="L12" s="8"/>
      <c r="M12" s="8"/>
    </row>
    <row r="13" spans="1:25">
      <c r="A13" s="64"/>
      <c r="B13" s="65"/>
      <c r="C13" s="121"/>
      <c r="D13" s="124" t="str">
        <f t="shared" si="0"/>
        <v/>
      </c>
      <c r="E13" s="65"/>
      <c r="F13" s="64"/>
      <c r="G13" s="8"/>
      <c r="H13" s="8"/>
      <c r="I13" s="8"/>
      <c r="J13" s="8"/>
      <c r="K13" s="8"/>
      <c r="L13" s="8"/>
      <c r="M13" s="8"/>
    </row>
    <row r="14" spans="1:25">
      <c r="A14" s="64"/>
      <c r="B14" s="65"/>
      <c r="C14" s="121"/>
      <c r="D14" s="124" t="str">
        <f t="shared" si="0"/>
        <v/>
      </c>
      <c r="E14" s="65"/>
      <c r="F14" s="64"/>
      <c r="G14" s="8"/>
      <c r="H14" s="8"/>
      <c r="I14" s="8"/>
      <c r="J14" s="8"/>
      <c r="K14" s="8"/>
      <c r="L14" s="8"/>
      <c r="M14" s="8"/>
    </row>
    <row r="15" spans="1:25">
      <c r="A15" s="64"/>
      <c r="B15" s="65"/>
      <c r="C15" s="121"/>
      <c r="D15" s="124" t="str">
        <f t="shared" si="0"/>
        <v/>
      </c>
      <c r="E15" s="65"/>
      <c r="F15" s="64"/>
      <c r="G15" s="8"/>
      <c r="H15" s="8"/>
      <c r="I15" s="8"/>
      <c r="J15" s="8"/>
      <c r="K15" s="8"/>
      <c r="L15" s="8"/>
      <c r="M15" s="8"/>
    </row>
    <row r="16" spans="1:25">
      <c r="A16" s="64"/>
      <c r="B16" s="65"/>
      <c r="C16" s="121"/>
      <c r="D16" s="124" t="str">
        <f t="shared" si="0"/>
        <v/>
      </c>
      <c r="E16" s="65"/>
      <c r="F16" s="64"/>
      <c r="G16" s="8"/>
      <c r="H16" s="8"/>
      <c r="I16" s="8"/>
      <c r="J16" s="8"/>
      <c r="K16" s="8"/>
      <c r="L16" s="8"/>
      <c r="M16" s="8"/>
    </row>
    <row r="17" spans="1:13">
      <c r="A17" s="51" t="s">
        <v>123</v>
      </c>
      <c r="B17" s="67"/>
      <c r="C17" s="122"/>
      <c r="D17" s="125">
        <f>SUM(D5:D16)</f>
        <v>17500</v>
      </c>
      <c r="E17" s="66">
        <f>SUM(E5:E16)</f>
        <v>17500</v>
      </c>
      <c r="F17" s="8"/>
      <c r="G17" s="8"/>
      <c r="H17" s="8"/>
      <c r="I17" s="8"/>
      <c r="J17" s="8"/>
      <c r="K17" s="8"/>
      <c r="L17" s="8"/>
      <c r="M17" s="8"/>
    </row>
    <row r="18" spans="1:13">
      <c r="A18" s="8"/>
      <c r="B18" s="8"/>
      <c r="C18" s="120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>
      <c r="A19" s="8"/>
      <c r="B19" s="8"/>
      <c r="C19" s="120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>
      <c r="A20" s="8"/>
      <c r="B20" s="8"/>
      <c r="C20" s="120"/>
      <c r="D20" s="8"/>
      <c r="E20" s="8"/>
      <c r="F20" s="8"/>
      <c r="G20" s="8"/>
      <c r="H20" s="8"/>
      <c r="I20" s="8"/>
      <c r="J20" s="8"/>
      <c r="K20" s="8"/>
      <c r="L20" s="8"/>
      <c r="M20" s="8"/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pageSetUpPr fitToPage="1"/>
  </sheetPr>
  <dimension ref="A1:W96"/>
  <sheetViews>
    <sheetView showGridLines="0" tabSelected="1" zoomScaleNormal="100" workbookViewId="0">
      <pane ySplit="4" topLeftCell="A86" activePane="bottomLeft" state="frozen"/>
      <selection pane="bottomLeft" activeCell="I96" sqref="I96:J96"/>
    </sheetView>
  </sheetViews>
  <sheetFormatPr defaultColWidth="11" defaultRowHeight="15.75" customHeight="1"/>
  <cols>
    <col min="1" max="1" width="4.625" style="14" customWidth="1"/>
    <col min="2" max="2" width="6.25" style="8" customWidth="1"/>
    <col min="3" max="3" width="18.625" style="8" customWidth="1"/>
    <col min="4" max="4" width="27.625" style="8" bestFit="1" customWidth="1"/>
    <col min="5" max="5" width="36.25" style="8" customWidth="1"/>
    <col min="6" max="6" width="9.25" style="8" customWidth="1"/>
    <col min="7" max="7" width="13.625" style="8" customWidth="1"/>
    <col min="8" max="13" width="6.625" style="8" customWidth="1"/>
    <col min="14" max="14" width="7.125" style="8" bestFit="1" customWidth="1"/>
    <col min="15" max="21" width="7.125" style="8" hidden="1" customWidth="1"/>
    <col min="22" max="22" width="11" style="8" customWidth="1"/>
    <col min="23" max="23" width="60.625" style="8" customWidth="1"/>
    <col min="24" max="16384" width="11" style="5"/>
  </cols>
  <sheetData>
    <row r="1" spans="1:23" ht="33.75" customHeight="1">
      <c r="A1" s="1"/>
      <c r="B1" s="6"/>
      <c r="C1" s="13" t="s">
        <v>166</v>
      </c>
      <c r="D1" s="4"/>
      <c r="E1" s="2"/>
      <c r="F1" s="2"/>
      <c r="G1" s="175" t="s">
        <v>167</v>
      </c>
      <c r="H1" s="11">
        <f>(H3*100)/F3</f>
        <v>20.673076923076923</v>
      </c>
      <c r="I1" s="176" t="s">
        <v>168</v>
      </c>
      <c r="J1" s="11">
        <f>((F60+F61+F62+F63)/F3)*100</f>
        <v>3.8461538461538463</v>
      </c>
      <c r="K1" s="3"/>
      <c r="L1" s="3"/>
      <c r="M1" s="2"/>
      <c r="N1" s="2"/>
      <c r="O1" s="3"/>
      <c r="P1" s="3"/>
      <c r="Q1" s="3"/>
      <c r="R1" s="3"/>
      <c r="S1" s="3"/>
      <c r="T1" s="2"/>
      <c r="U1" s="2"/>
      <c r="V1" s="2"/>
      <c r="W1" s="2"/>
    </row>
    <row r="2" spans="1:23" ht="3.75" customHeight="1" thickBo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15.75" customHeight="1">
      <c r="A3" s="5"/>
      <c r="B3" s="5"/>
      <c r="C3" s="5"/>
      <c r="D3" s="5"/>
      <c r="E3" s="41" t="s">
        <v>169</v>
      </c>
      <c r="F3" s="50">
        <f t="shared" ref="F3:N3" si="0">SUBTOTAL(9,F5:F95)</f>
        <v>104</v>
      </c>
      <c r="G3" s="46">
        <f t="shared" si="0"/>
        <v>77425</v>
      </c>
      <c r="H3" s="49">
        <f t="shared" si="0"/>
        <v>21.5</v>
      </c>
      <c r="I3" s="49">
        <f t="shared" si="0"/>
        <v>10.5</v>
      </c>
      <c r="J3" s="49">
        <f t="shared" si="0"/>
        <v>29.5</v>
      </c>
      <c r="K3" s="49">
        <f t="shared" si="0"/>
        <v>37.5</v>
      </c>
      <c r="L3" s="49">
        <f t="shared" si="0"/>
        <v>5</v>
      </c>
      <c r="M3" s="49">
        <f t="shared" si="0"/>
        <v>0</v>
      </c>
      <c r="N3" s="49">
        <f t="shared" si="0"/>
        <v>0</v>
      </c>
      <c r="O3" s="187" t="s">
        <v>170</v>
      </c>
      <c r="P3" s="188"/>
      <c r="Q3" s="188"/>
      <c r="R3" s="188"/>
      <c r="S3" s="188"/>
      <c r="T3" s="188"/>
      <c r="U3" s="189"/>
      <c r="V3" s="5"/>
      <c r="W3" s="5"/>
    </row>
    <row r="4" spans="1:23" ht="104.85" customHeight="1">
      <c r="A4" s="29" t="s">
        <v>171</v>
      </c>
      <c r="B4" s="29" t="s">
        <v>18</v>
      </c>
      <c r="C4" s="29" t="s">
        <v>21</v>
      </c>
      <c r="D4" s="29" t="s">
        <v>172</v>
      </c>
      <c r="E4" s="29" t="s">
        <v>173</v>
      </c>
      <c r="F4" s="31" t="s">
        <v>174</v>
      </c>
      <c r="G4" s="31" t="s">
        <v>175</v>
      </c>
      <c r="H4" s="44" t="str">
        <f>PROFIL!B6</f>
        <v>Chef de Projet</v>
      </c>
      <c r="I4" s="44" t="str">
        <f>PROFIL!B7</f>
        <v>Architecte</v>
      </c>
      <c r="J4" s="44" t="str">
        <f>PROFIL!B8</f>
        <v>Consultant Technique</v>
      </c>
      <c r="K4" s="44" t="str">
        <f>PROFIL!B9</f>
        <v>Consultant Change</v>
      </c>
      <c r="L4" s="44" t="str">
        <f>PROFIL!B10</f>
        <v>Consultant Data</v>
      </c>
      <c r="M4" s="44">
        <f>PROFIL!B11</f>
        <v>0</v>
      </c>
      <c r="N4" s="44">
        <f>PROFIL!B12</f>
        <v>0</v>
      </c>
      <c r="O4" s="158" t="str">
        <f>PROFIL!B6</f>
        <v>Chef de Projet</v>
      </c>
      <c r="P4" s="158" t="str">
        <f>PROFIL!B7</f>
        <v>Architecte</v>
      </c>
      <c r="Q4" s="158" t="str">
        <f>PROFIL!B8</f>
        <v>Consultant Technique</v>
      </c>
      <c r="R4" s="158" t="str">
        <f>PROFIL!B9</f>
        <v>Consultant Change</v>
      </c>
      <c r="S4" s="158" t="str">
        <f>PROFIL!B10</f>
        <v>Consultant Data</v>
      </c>
      <c r="T4" s="158">
        <f>PROFIL!B11</f>
        <v>0</v>
      </c>
      <c r="U4" s="158">
        <f>PROFIL!B12</f>
        <v>0</v>
      </c>
      <c r="V4" s="29" t="s">
        <v>176</v>
      </c>
      <c r="W4" s="29" t="s">
        <v>177</v>
      </c>
    </row>
    <row r="5" spans="1:23" ht="23.1">
      <c r="A5" s="16" t="s">
        <v>178</v>
      </c>
      <c r="B5" s="17" t="s">
        <v>179</v>
      </c>
      <c r="C5" s="18" t="s">
        <v>42</v>
      </c>
      <c r="D5" s="18" t="s">
        <v>43</v>
      </c>
      <c r="E5" s="93" t="s">
        <v>180</v>
      </c>
      <c r="F5" s="45">
        <f t="shared" ref="F5" si="1">IF((H5+I5+J5+K5+L5+M5+N5)=0,"-",(H5+I5+J5+K5+L5+M5+N5))</f>
        <v>1.5</v>
      </c>
      <c r="G5" s="28">
        <f>IF((O5+P5+Q5+R5+S5+T5+U5)=0,"-",(O5+P5+Q5+R5+S5+T5+U5))</f>
        <v>1175</v>
      </c>
      <c r="H5" s="40">
        <v>1</v>
      </c>
      <c r="I5" s="40">
        <v>0.5</v>
      </c>
      <c r="J5" s="40"/>
      <c r="K5" s="40"/>
      <c r="L5" s="40"/>
      <c r="M5" s="40"/>
      <c r="N5" s="40"/>
      <c r="O5" s="159">
        <f>H5*(IF(PROFIL!$J$15&lt;&gt;"",PROFIL!$D$6*(1-PROFIL!$J$15),PROFIL!$D$6))</f>
        <v>750</v>
      </c>
      <c r="P5" s="159">
        <f>I5*(IF(PROFIL!$J$15&lt;&gt;"",PROFIL!$D$7*(1-PROFIL!$J$15),PROFIL!$D$7))</f>
        <v>425</v>
      </c>
      <c r="Q5" s="159">
        <f>J5*(IF(PROFIL!$J$15&lt;&gt;"",PROFIL!$D$8*(1-PROFIL!$J$15),PROFIL!$D$8))</f>
        <v>0</v>
      </c>
      <c r="R5" s="159">
        <f>K5*(IF(PROFIL!$J$15&lt;&gt;"",PROFIL!$D$9*(1-PROFIL!$J$15),PROFIL!$D$9))</f>
        <v>0</v>
      </c>
      <c r="S5" s="159">
        <f>L5*(IF(PROFIL!$J$15&lt;&gt;"",PROFIL!$D$10*(1-PROFIL!$J$15),PROFIL!$D$10))</f>
        <v>0</v>
      </c>
      <c r="T5" s="159">
        <f>M5*(IF(PROFIL!$J$15&lt;&gt;"",PROFIL!$D$11*(1-PROFIL!$J$15),PROFIL!$D$11))</f>
        <v>0</v>
      </c>
      <c r="U5" s="159">
        <f>N5*(IF(PROFIL!$J$15&lt;&gt;"",PROFIL!$D$12*(1-PROFIL!$J$15),PROFIL!$D$12))</f>
        <v>0</v>
      </c>
      <c r="V5" s="43" t="s">
        <v>181</v>
      </c>
      <c r="W5" s="42" t="s">
        <v>182</v>
      </c>
    </row>
    <row r="6" spans="1:23" ht="14.1">
      <c r="A6" s="16"/>
      <c r="B6" s="17"/>
      <c r="C6" s="18"/>
      <c r="D6" s="18"/>
      <c r="E6" s="68"/>
      <c r="F6" s="45" t="str">
        <f t="shared" ref="F6" si="2">IF((H6+I6+J6+K6+L6+M6+N6)=0,"-",(H6+I6+J6+K6+L6+M6+N6))</f>
        <v>-</v>
      </c>
      <c r="G6" s="28" t="str">
        <f t="shared" ref="G6" si="3">IF((O6+P6+Q6+R6+S6+T6+U6)=0,"-",(O6+P6+Q6+R6+S6+T6+U6))</f>
        <v>-</v>
      </c>
      <c r="H6" s="40"/>
      <c r="I6" s="40"/>
      <c r="J6" s="40"/>
      <c r="K6" s="40"/>
      <c r="L6" s="40"/>
      <c r="M6" s="40"/>
      <c r="N6" s="40"/>
      <c r="O6" s="159">
        <f>H6*(IF(PROFIL!$J$15&lt;&gt;"",PROFIL!$D$6*(1-PROFIL!$J$15),PROFIL!$D$6))</f>
        <v>0</v>
      </c>
      <c r="P6" s="159">
        <f>I6*(IF(PROFIL!$J$15&lt;&gt;"",PROFIL!$D$7*(1-PROFIL!$J$15),PROFIL!$D$7))</f>
        <v>0</v>
      </c>
      <c r="Q6" s="159">
        <f>J6*(IF(PROFIL!$J$15&lt;&gt;"",PROFIL!$D$8*(1-PROFIL!$J$15),PROFIL!$D$8))</f>
        <v>0</v>
      </c>
      <c r="R6" s="159">
        <f>K6*(IF(PROFIL!$J$15&lt;&gt;"",PROFIL!$D$9*(1-PROFIL!$J$15),PROFIL!$D$9))</f>
        <v>0</v>
      </c>
      <c r="S6" s="159">
        <f>L6*(IF(PROFIL!$J$15&lt;&gt;"",PROFIL!$D$10*(1-PROFIL!$J$15),PROFIL!$D$10))</f>
        <v>0</v>
      </c>
      <c r="T6" s="159">
        <f>M6*(IF(PROFIL!$J$15&lt;&gt;"",PROFIL!$D$11*(1-PROFIL!$J$15),PROFIL!$D$11))</f>
        <v>0</v>
      </c>
      <c r="U6" s="159">
        <f>N6*(IF(PROFIL!$J$15&lt;&gt;"",PROFIL!$D$12*(1-PROFIL!$J$15),PROFIL!$D$12))</f>
        <v>0</v>
      </c>
      <c r="V6" s="19"/>
      <c r="W6" s="18"/>
    </row>
    <row r="7" spans="1:23" ht="23.1">
      <c r="A7" s="16" t="s">
        <v>178</v>
      </c>
      <c r="B7" s="17" t="s">
        <v>179</v>
      </c>
      <c r="C7" s="18" t="s">
        <v>42</v>
      </c>
      <c r="D7" s="18" t="s">
        <v>43</v>
      </c>
      <c r="E7" s="68" t="s">
        <v>183</v>
      </c>
      <c r="F7" s="45">
        <f t="shared" ref="F7:F34" si="4">IF((H7+I7+J7+K7+L7+M7+N7)=0,"-",(H7+I7+J7+K7+L7+M7+N7))</f>
        <v>2</v>
      </c>
      <c r="G7" s="28">
        <f t="shared" ref="G7:G34" si="5">IF((O7+P7+Q7+R7+S7+T7+U7)=0,"-",(O7+P7+Q7+R7+S7+T7+U7))</f>
        <v>1500</v>
      </c>
      <c r="H7" s="40">
        <v>2</v>
      </c>
      <c r="I7" s="40"/>
      <c r="J7" s="40"/>
      <c r="K7" s="40"/>
      <c r="L7" s="40"/>
      <c r="M7" s="40"/>
      <c r="N7" s="40"/>
      <c r="O7" s="159">
        <f>H7*(IF(PROFIL!$J$15&lt;&gt;"",PROFIL!$D$6*(1-PROFIL!$J$15),PROFIL!$D$6))</f>
        <v>1500</v>
      </c>
      <c r="P7" s="159">
        <f>I7*(IF(PROFIL!$J$15&lt;&gt;"",PROFIL!$D$7*(1-PROFIL!$J$15),PROFIL!$D$7))</f>
        <v>0</v>
      </c>
      <c r="Q7" s="159">
        <f>J7*(IF(PROFIL!$J$15&lt;&gt;"",PROFIL!$D$8*(1-PROFIL!$J$15),PROFIL!$D$8))</f>
        <v>0</v>
      </c>
      <c r="R7" s="159">
        <f>K7*(IF(PROFIL!$J$15&lt;&gt;"",PROFIL!$D$9*(1-PROFIL!$J$15),PROFIL!$D$9))</f>
        <v>0</v>
      </c>
      <c r="S7" s="159">
        <f>L7*(IF(PROFIL!$J$15&lt;&gt;"",PROFIL!$D$10*(1-PROFIL!$J$15),PROFIL!$D$10))</f>
        <v>0</v>
      </c>
      <c r="T7" s="159">
        <f>M7*(IF(PROFIL!$J$15&lt;&gt;"",PROFIL!$D$11*(1-PROFIL!$J$15),PROFIL!$D$11))</f>
        <v>0</v>
      </c>
      <c r="U7" s="159">
        <f>N7*(IF(PROFIL!$J$15&lt;&gt;"",PROFIL!$D$12*(1-PROFIL!$J$15),PROFIL!$D$12))</f>
        <v>0</v>
      </c>
      <c r="V7" s="19" t="s">
        <v>184</v>
      </c>
      <c r="W7" s="18" t="s">
        <v>185</v>
      </c>
    </row>
    <row r="8" spans="1:23" ht="23.1">
      <c r="A8" s="16" t="s">
        <v>178</v>
      </c>
      <c r="B8" s="17" t="s">
        <v>179</v>
      </c>
      <c r="C8" s="18" t="s">
        <v>42</v>
      </c>
      <c r="D8" s="18" t="s">
        <v>43</v>
      </c>
      <c r="E8" s="68" t="s">
        <v>186</v>
      </c>
      <c r="F8" s="45">
        <f t="shared" ref="F8:F27" si="6">IF((H8+I8+J8+K8+L8+M8+N8)=0,"-",(H8+I8+J8+K8+L8+M8+N8))</f>
        <v>3</v>
      </c>
      <c r="G8" s="28">
        <f t="shared" ref="G8:G27" si="7">IF((O8+P8+Q8+R8+S8+T8+U8)=0,"-",(O8+P8+Q8+R8+S8+T8+U8))</f>
        <v>2200</v>
      </c>
      <c r="H8" s="40">
        <v>2</v>
      </c>
      <c r="I8" s="40"/>
      <c r="J8" s="40"/>
      <c r="K8" s="40">
        <v>1</v>
      </c>
      <c r="L8" s="40"/>
      <c r="M8" s="40"/>
      <c r="N8" s="40"/>
      <c r="O8" s="159">
        <f>H8*(IF(PROFIL!$J$15&lt;&gt;"",PROFIL!$D$6*(1-PROFIL!$J$15),PROFIL!$D$6))</f>
        <v>1500</v>
      </c>
      <c r="P8" s="159">
        <f>I8*(IF(PROFIL!$J$15&lt;&gt;"",PROFIL!$D$7*(1-PROFIL!$J$15),PROFIL!$D$7))</f>
        <v>0</v>
      </c>
      <c r="Q8" s="159">
        <f>J8*(IF(PROFIL!$J$15&lt;&gt;"",PROFIL!$D$8*(1-PROFIL!$J$15),PROFIL!$D$8))</f>
        <v>0</v>
      </c>
      <c r="R8" s="159">
        <f>K8*(IF(PROFIL!$J$15&lt;&gt;"",PROFIL!$D$9*(1-PROFIL!$J$15),PROFIL!$D$9))</f>
        <v>700</v>
      </c>
      <c r="S8" s="159">
        <f>L8*(IF(PROFIL!$J$15&lt;&gt;"",PROFIL!$D$10*(1-PROFIL!$J$15),PROFIL!$D$10))</f>
        <v>0</v>
      </c>
      <c r="T8" s="159">
        <f>M8*(IF(PROFIL!$J$15&lt;&gt;"",PROFIL!$D$11*(1-PROFIL!$J$15),PROFIL!$D$11))</f>
        <v>0</v>
      </c>
      <c r="U8" s="159">
        <f>N8*(IF(PROFIL!$J$15&lt;&gt;"",PROFIL!$D$12*(1-PROFIL!$J$15),PROFIL!$D$12))</f>
        <v>0</v>
      </c>
      <c r="V8" s="19" t="s">
        <v>184</v>
      </c>
      <c r="W8" s="18" t="s">
        <v>187</v>
      </c>
    </row>
    <row r="9" spans="1:23" ht="14.1">
      <c r="A9" s="16"/>
      <c r="B9" s="17"/>
      <c r="C9" s="18"/>
      <c r="D9" s="18"/>
      <c r="E9" s="68"/>
      <c r="F9" s="45" t="str">
        <f t="shared" si="6"/>
        <v>-</v>
      </c>
      <c r="G9" s="28" t="str">
        <f t="shared" si="7"/>
        <v>-</v>
      </c>
      <c r="H9" s="40"/>
      <c r="I9" s="40"/>
      <c r="J9" s="40"/>
      <c r="K9" s="40"/>
      <c r="L9" s="40"/>
      <c r="M9" s="40"/>
      <c r="N9" s="40"/>
      <c r="O9" s="159">
        <f>H9*(IF(PROFIL!$J$15&lt;&gt;"",PROFIL!$D$6*(1-PROFIL!$J$15),PROFIL!$D$6))</f>
        <v>0</v>
      </c>
      <c r="P9" s="159">
        <f>I9*(IF(PROFIL!$J$15&lt;&gt;"",PROFIL!$D$7*(1-PROFIL!$J$15),PROFIL!$D$7))</f>
        <v>0</v>
      </c>
      <c r="Q9" s="159">
        <f>J9*(IF(PROFIL!$J$15&lt;&gt;"",PROFIL!$D$8*(1-PROFIL!$J$15),PROFIL!$D$8))</f>
        <v>0</v>
      </c>
      <c r="R9" s="159">
        <f>K9*(IF(PROFIL!$J$15&lt;&gt;"",PROFIL!$D$9*(1-PROFIL!$J$15),PROFIL!$D$9))</f>
        <v>0</v>
      </c>
      <c r="S9" s="159">
        <f>L9*(IF(PROFIL!$J$15&lt;&gt;"",PROFIL!$D$10*(1-PROFIL!$J$15),PROFIL!$D$10))</f>
        <v>0</v>
      </c>
      <c r="T9" s="159">
        <f>M9*(IF(PROFIL!$J$15&lt;&gt;"",PROFIL!$D$11*(1-PROFIL!$J$15),PROFIL!$D$11))</f>
        <v>0</v>
      </c>
      <c r="U9" s="159">
        <f>N9*(IF(PROFIL!$J$15&lt;&gt;"",PROFIL!$D$12*(1-PROFIL!$J$15),PROFIL!$D$12))</f>
        <v>0</v>
      </c>
      <c r="V9" s="19"/>
      <c r="W9" s="18"/>
    </row>
    <row r="10" spans="1:23" ht="14.1">
      <c r="A10" s="16" t="s">
        <v>188</v>
      </c>
      <c r="B10" s="17" t="s">
        <v>189</v>
      </c>
      <c r="C10" s="18" t="s">
        <v>42</v>
      </c>
      <c r="D10" s="18" t="s">
        <v>43</v>
      </c>
      <c r="E10" s="68" t="s">
        <v>190</v>
      </c>
      <c r="F10" s="45">
        <f>IF((H10+I10+J10+K10+L10+M10+N10)=0,"-",(H10+I10+J10+K10+L10+M10+N10))</f>
        <v>2</v>
      </c>
      <c r="G10" s="28">
        <f t="shared" ref="G10" si="8">IF((O10+P10+Q10+R10+S10+T10+U10)=0,"-",(O10+P10+Q10+R10+S10+T10+U10))</f>
        <v>1500</v>
      </c>
      <c r="H10" s="40">
        <v>2</v>
      </c>
      <c r="I10" s="40"/>
      <c r="J10" s="40"/>
      <c r="K10" s="40"/>
      <c r="L10" s="40"/>
      <c r="M10" s="40"/>
      <c r="N10" s="40"/>
      <c r="O10" s="159">
        <f>H10*(IF(PROFIL!$J$15&lt;&gt;"",PROFIL!$D$6*(1-PROFIL!$J$15),PROFIL!$D$6))</f>
        <v>1500</v>
      </c>
      <c r="P10" s="159">
        <f>I10*(IF(PROFIL!$J$15&lt;&gt;"",PROFIL!$D$7*(1-PROFIL!$J$15),PROFIL!$D$7))</f>
        <v>0</v>
      </c>
      <c r="Q10" s="159">
        <f>J10*(IF(PROFIL!$J$15&lt;&gt;"",PROFIL!$D$8*(1-PROFIL!$J$15),PROFIL!$D$8))</f>
        <v>0</v>
      </c>
      <c r="R10" s="159">
        <f>K10*(IF(PROFIL!$J$15&lt;&gt;"",PROFIL!$D$9*(1-PROFIL!$J$15),PROFIL!$D$9))</f>
        <v>0</v>
      </c>
      <c r="S10" s="159">
        <f>L10*(IF(PROFIL!$J$15&lt;&gt;"",PROFIL!$D$10*(1-PROFIL!$J$15),PROFIL!$D$10))</f>
        <v>0</v>
      </c>
      <c r="T10" s="159">
        <f>M10*(IF(PROFIL!$J$15&lt;&gt;"",PROFIL!$D$11*(1-PROFIL!$J$15),PROFIL!$D$11))</f>
        <v>0</v>
      </c>
      <c r="U10" s="159">
        <f>N10*(IF(PROFIL!$J$15&lt;&gt;"",PROFIL!$D$12*(1-PROFIL!$J$15),PROFIL!$D$12))</f>
        <v>0</v>
      </c>
      <c r="V10" s="19"/>
      <c r="W10" s="18"/>
    </row>
    <row r="11" spans="1:23" ht="14.1">
      <c r="A11" s="16" t="s">
        <v>188</v>
      </c>
      <c r="B11" s="17" t="s">
        <v>189</v>
      </c>
      <c r="C11" s="18" t="s">
        <v>25</v>
      </c>
      <c r="D11" s="18" t="s">
        <v>26</v>
      </c>
      <c r="E11" s="68" t="s">
        <v>191</v>
      </c>
      <c r="F11" s="45">
        <f t="shared" ref="F11" si="9">IF((H11+I11+J11+K11+L11+M11+N11)=0,"-",(H11+I11+J11+K11+L11+M11+N11))</f>
        <v>1</v>
      </c>
      <c r="G11" s="28">
        <f t="shared" ref="G11" si="10">IF((O11+P11+Q11+R11+S11+T11+U11)=0,"-",(O11+P11+Q11+R11+S11+T11+U11))</f>
        <v>850</v>
      </c>
      <c r="H11" s="40"/>
      <c r="I11" s="40">
        <v>1</v>
      </c>
      <c r="J11" s="40"/>
      <c r="K11" s="40"/>
      <c r="L11" s="40"/>
      <c r="M11" s="40"/>
      <c r="N11" s="40"/>
      <c r="O11" s="159">
        <f>H11*(IF(PROFIL!$J$15&lt;&gt;"",PROFIL!$D$6*(1-PROFIL!$J$15),PROFIL!$D$6))</f>
        <v>0</v>
      </c>
      <c r="P11" s="159">
        <f>I11*(IF(PROFIL!$J$15&lt;&gt;"",PROFIL!$D$7*(1-PROFIL!$J$15),PROFIL!$D$7))</f>
        <v>850</v>
      </c>
      <c r="Q11" s="159">
        <f>J11*(IF(PROFIL!$J$15&lt;&gt;"",PROFIL!$D$8*(1-PROFIL!$J$15),PROFIL!$D$8))</f>
        <v>0</v>
      </c>
      <c r="R11" s="159">
        <f>K11*(IF(PROFIL!$J$15&lt;&gt;"",PROFIL!$D$9*(1-PROFIL!$J$15),PROFIL!$D$9))</f>
        <v>0</v>
      </c>
      <c r="S11" s="159">
        <f>L11*(IF(PROFIL!$J$15&lt;&gt;"",PROFIL!$D$10*(1-PROFIL!$J$15),PROFIL!$D$10))</f>
        <v>0</v>
      </c>
      <c r="T11" s="159">
        <f>M11*(IF(PROFIL!$J$15&lt;&gt;"",PROFIL!$D$11*(1-PROFIL!$J$15),PROFIL!$D$11))</f>
        <v>0</v>
      </c>
      <c r="U11" s="159">
        <f>N11*(IF(PROFIL!$J$15&lt;&gt;"",PROFIL!$D$12*(1-PROFIL!$J$15),PROFIL!$D$12))</f>
        <v>0</v>
      </c>
      <c r="V11" s="19" t="s">
        <v>181</v>
      </c>
      <c r="W11" s="18" t="s">
        <v>192</v>
      </c>
    </row>
    <row r="12" spans="1:23" ht="14.1">
      <c r="A12" s="16" t="s">
        <v>188</v>
      </c>
      <c r="B12" s="17" t="s">
        <v>189</v>
      </c>
      <c r="C12" s="18" t="s">
        <v>25</v>
      </c>
      <c r="D12" s="18" t="s">
        <v>26</v>
      </c>
      <c r="E12" s="68" t="s">
        <v>193</v>
      </c>
      <c r="F12" s="45">
        <f t="shared" si="6"/>
        <v>1</v>
      </c>
      <c r="G12" s="28">
        <f t="shared" si="7"/>
        <v>850</v>
      </c>
      <c r="H12" s="40"/>
      <c r="I12" s="40">
        <v>1</v>
      </c>
      <c r="J12" s="40"/>
      <c r="K12" s="40"/>
      <c r="L12" s="40"/>
      <c r="M12" s="40"/>
      <c r="N12" s="40"/>
      <c r="O12" s="159">
        <f>H12*(IF(PROFIL!$J$15&lt;&gt;"",PROFIL!$D$6*(1-PROFIL!$J$15),PROFIL!$D$6))</f>
        <v>0</v>
      </c>
      <c r="P12" s="159">
        <f>I12*(IF(PROFIL!$J$15&lt;&gt;"",PROFIL!$D$7*(1-PROFIL!$J$15),PROFIL!$D$7))</f>
        <v>850</v>
      </c>
      <c r="Q12" s="159">
        <f>J12*(IF(PROFIL!$J$15&lt;&gt;"",PROFIL!$D$8*(1-PROFIL!$J$15),PROFIL!$D$8))</f>
        <v>0</v>
      </c>
      <c r="R12" s="159">
        <f>K12*(IF(PROFIL!$J$15&lt;&gt;"",PROFIL!$D$9*(1-PROFIL!$J$15),PROFIL!$D$9))</f>
        <v>0</v>
      </c>
      <c r="S12" s="159">
        <f>L12*(IF(PROFIL!$J$15&lt;&gt;"",PROFIL!$D$10*(1-PROFIL!$J$15),PROFIL!$D$10))</f>
        <v>0</v>
      </c>
      <c r="T12" s="159">
        <f>M12*(IF(PROFIL!$J$15&lt;&gt;"",PROFIL!$D$11*(1-PROFIL!$J$15),PROFIL!$D$11))</f>
        <v>0</v>
      </c>
      <c r="U12" s="159">
        <f>N12*(IF(PROFIL!$J$15&lt;&gt;"",PROFIL!$D$12*(1-PROFIL!$J$15),PROFIL!$D$12))</f>
        <v>0</v>
      </c>
      <c r="V12" s="19" t="s">
        <v>181</v>
      </c>
      <c r="W12" s="18" t="s">
        <v>194</v>
      </c>
    </row>
    <row r="13" spans="1:23" ht="14.1">
      <c r="A13" s="16" t="s">
        <v>188</v>
      </c>
      <c r="B13" s="17" t="s">
        <v>189</v>
      </c>
      <c r="C13" s="18" t="s">
        <v>25</v>
      </c>
      <c r="D13" s="18" t="s">
        <v>26</v>
      </c>
      <c r="E13" s="68" t="s">
        <v>195</v>
      </c>
      <c r="F13" s="45">
        <f t="shared" si="6"/>
        <v>1</v>
      </c>
      <c r="G13" s="28">
        <f t="shared" si="7"/>
        <v>850</v>
      </c>
      <c r="H13" s="40"/>
      <c r="I13" s="40">
        <v>1</v>
      </c>
      <c r="J13" s="40"/>
      <c r="K13" s="40"/>
      <c r="L13" s="40"/>
      <c r="M13" s="40"/>
      <c r="N13" s="40"/>
      <c r="O13" s="159">
        <f>H13*(IF(PROFIL!$J$15&lt;&gt;"",PROFIL!$D$6*(1-PROFIL!$J$15),PROFIL!$D$6))</f>
        <v>0</v>
      </c>
      <c r="P13" s="159">
        <f>I13*(IF(PROFIL!$J$15&lt;&gt;"",PROFIL!$D$7*(1-PROFIL!$J$15),PROFIL!$D$7))</f>
        <v>850</v>
      </c>
      <c r="Q13" s="159">
        <f>J13*(IF(PROFIL!$J$15&lt;&gt;"",PROFIL!$D$8*(1-PROFIL!$J$15),PROFIL!$D$8))</f>
        <v>0</v>
      </c>
      <c r="R13" s="159">
        <f>K13*(IF(PROFIL!$J$15&lt;&gt;"",PROFIL!$D$9*(1-PROFIL!$J$15),PROFIL!$D$9))</f>
        <v>0</v>
      </c>
      <c r="S13" s="159">
        <f>L13*(IF(PROFIL!$J$15&lt;&gt;"",PROFIL!$D$10*(1-PROFIL!$J$15),PROFIL!$D$10))</f>
        <v>0</v>
      </c>
      <c r="T13" s="159">
        <f>M13*(IF(PROFIL!$J$15&lt;&gt;"",PROFIL!$D$11*(1-PROFIL!$J$15),PROFIL!$D$11))</f>
        <v>0</v>
      </c>
      <c r="U13" s="159">
        <f>N13*(IF(PROFIL!$J$15&lt;&gt;"",PROFIL!$D$12*(1-PROFIL!$J$15),PROFIL!$D$12))</f>
        <v>0</v>
      </c>
      <c r="V13" s="19" t="s">
        <v>181</v>
      </c>
      <c r="W13" s="18" t="s">
        <v>196</v>
      </c>
    </row>
    <row r="14" spans="1:23" ht="14.1">
      <c r="A14" s="16" t="s">
        <v>197</v>
      </c>
      <c r="B14" s="17" t="s">
        <v>189</v>
      </c>
      <c r="C14" s="18" t="s">
        <v>25</v>
      </c>
      <c r="D14" s="18" t="s">
        <v>31</v>
      </c>
      <c r="E14" s="68" t="s">
        <v>198</v>
      </c>
      <c r="F14" s="45" t="str">
        <f t="shared" si="6"/>
        <v>-</v>
      </c>
      <c r="G14" s="28" t="str">
        <f t="shared" si="7"/>
        <v>-</v>
      </c>
      <c r="H14" s="40"/>
      <c r="I14" s="40"/>
      <c r="J14" s="40"/>
      <c r="K14" s="40"/>
      <c r="L14" s="40"/>
      <c r="M14" s="40"/>
      <c r="N14" s="40"/>
      <c r="O14" s="159">
        <f>H14*(IF(PROFIL!$J$15&lt;&gt;"",PROFIL!$D$6*(1-PROFIL!$J$15),PROFIL!$D$6))</f>
        <v>0</v>
      </c>
      <c r="P14" s="159">
        <f>I14*(IF(PROFIL!$J$15&lt;&gt;"",PROFIL!$D$7*(1-PROFIL!$J$15),PROFIL!$D$7))</f>
        <v>0</v>
      </c>
      <c r="Q14" s="159">
        <f>J14*(IF(PROFIL!$J$15&lt;&gt;"",PROFIL!$D$8*(1-PROFIL!$J$15),PROFIL!$D$8))</f>
        <v>0</v>
      </c>
      <c r="R14" s="159">
        <f>K14*(IF(PROFIL!$J$15&lt;&gt;"",PROFIL!$D$9*(1-PROFIL!$J$15),PROFIL!$D$9))</f>
        <v>0</v>
      </c>
      <c r="S14" s="159">
        <f>L14*(IF(PROFIL!$J$15&lt;&gt;"",PROFIL!$D$10*(1-PROFIL!$J$15),PROFIL!$D$10))</f>
        <v>0</v>
      </c>
      <c r="T14" s="159">
        <f>M14*(IF(PROFIL!$J$15&lt;&gt;"",PROFIL!$D$11*(1-PROFIL!$J$15),PROFIL!$D$11))</f>
        <v>0</v>
      </c>
      <c r="U14" s="159">
        <f>N14*(IF(PROFIL!$J$15&lt;&gt;"",PROFIL!$D$12*(1-PROFIL!$J$15),PROFIL!$D$12))</f>
        <v>0</v>
      </c>
      <c r="V14" s="19" t="s">
        <v>181</v>
      </c>
      <c r="W14" s="18" t="s">
        <v>199</v>
      </c>
    </row>
    <row r="15" spans="1:23" ht="14.1">
      <c r="A15" s="16" t="s">
        <v>197</v>
      </c>
      <c r="B15" s="17" t="s">
        <v>189</v>
      </c>
      <c r="C15" s="18" t="s">
        <v>25</v>
      </c>
      <c r="D15" s="18" t="s">
        <v>31</v>
      </c>
      <c r="E15" s="68" t="s">
        <v>200</v>
      </c>
      <c r="F15" s="45">
        <f t="shared" si="6"/>
        <v>1.5</v>
      </c>
      <c r="G15" s="28">
        <f t="shared" si="7"/>
        <v>1225</v>
      </c>
      <c r="H15" s="40"/>
      <c r="I15" s="40">
        <v>1</v>
      </c>
      <c r="J15" s="40">
        <v>0.5</v>
      </c>
      <c r="K15" s="40"/>
      <c r="L15" s="40"/>
      <c r="M15" s="40"/>
      <c r="N15" s="40"/>
      <c r="O15" s="159">
        <f>H15*(IF(PROFIL!$J$15&lt;&gt;"",PROFIL!$D$6*(1-PROFIL!$J$15),PROFIL!$D$6))</f>
        <v>0</v>
      </c>
      <c r="P15" s="159">
        <f>I15*(IF(PROFIL!$J$15&lt;&gt;"",PROFIL!$D$7*(1-PROFIL!$J$15),PROFIL!$D$7))</f>
        <v>850</v>
      </c>
      <c r="Q15" s="159">
        <f>J15*(IF(PROFIL!$J$15&lt;&gt;"",PROFIL!$D$8*(1-PROFIL!$J$15),PROFIL!$D$8))</f>
        <v>375</v>
      </c>
      <c r="R15" s="159">
        <f>K15*(IF(PROFIL!$J$15&lt;&gt;"",PROFIL!$D$9*(1-PROFIL!$J$15),PROFIL!$D$9))</f>
        <v>0</v>
      </c>
      <c r="S15" s="159">
        <f>L15*(IF(PROFIL!$J$15&lt;&gt;"",PROFIL!$D$10*(1-PROFIL!$J$15),PROFIL!$D$10))</f>
        <v>0</v>
      </c>
      <c r="T15" s="159">
        <f>M15*(IF(PROFIL!$J$15&lt;&gt;"",PROFIL!$D$11*(1-PROFIL!$J$15),PROFIL!$D$11))</f>
        <v>0</v>
      </c>
      <c r="U15" s="159">
        <f>N15*(IF(PROFIL!$J$15&lt;&gt;"",PROFIL!$D$12*(1-PROFIL!$J$15),PROFIL!$D$12))</f>
        <v>0</v>
      </c>
      <c r="V15" s="19" t="s">
        <v>181</v>
      </c>
      <c r="W15" s="18" t="s">
        <v>201</v>
      </c>
    </row>
    <row r="16" spans="1:23" ht="14.1">
      <c r="A16" s="16" t="s">
        <v>197</v>
      </c>
      <c r="B16" s="17" t="s">
        <v>189</v>
      </c>
      <c r="C16" s="18" t="s">
        <v>25</v>
      </c>
      <c r="D16" s="18" t="s">
        <v>28</v>
      </c>
      <c r="E16" s="68" t="s">
        <v>202</v>
      </c>
      <c r="F16" s="45">
        <f t="shared" si="6"/>
        <v>2.5</v>
      </c>
      <c r="G16" s="28">
        <f t="shared" si="7"/>
        <v>2075</v>
      </c>
      <c r="H16" s="40"/>
      <c r="I16" s="40">
        <v>2</v>
      </c>
      <c r="J16" s="40">
        <v>0.5</v>
      </c>
      <c r="K16" s="40"/>
      <c r="L16" s="40"/>
      <c r="M16" s="40"/>
      <c r="N16" s="40"/>
      <c r="O16" s="159">
        <f>H16*(IF(PROFIL!$J$15&lt;&gt;"",PROFIL!$D$6*(1-PROFIL!$J$15),PROFIL!$D$6))</f>
        <v>0</v>
      </c>
      <c r="P16" s="159">
        <f>I16*(IF(PROFIL!$J$15&lt;&gt;"",PROFIL!$D$7*(1-PROFIL!$J$15),PROFIL!$D$7))</f>
        <v>1700</v>
      </c>
      <c r="Q16" s="159">
        <f>J16*(IF(PROFIL!$J$15&lt;&gt;"",PROFIL!$D$8*(1-PROFIL!$J$15),PROFIL!$D$8))</f>
        <v>375</v>
      </c>
      <c r="R16" s="159">
        <f>K16*(IF(PROFIL!$J$15&lt;&gt;"",PROFIL!$D$9*(1-PROFIL!$J$15),PROFIL!$D$9))</f>
        <v>0</v>
      </c>
      <c r="S16" s="159">
        <f>L16*(IF(PROFIL!$J$15&lt;&gt;"",PROFIL!$D$10*(1-PROFIL!$J$15),PROFIL!$D$10))</f>
        <v>0</v>
      </c>
      <c r="T16" s="159">
        <f>M16*(IF(PROFIL!$J$15&lt;&gt;"",PROFIL!$D$11*(1-PROFIL!$J$15),PROFIL!$D$11))</f>
        <v>0</v>
      </c>
      <c r="U16" s="159">
        <f>N16*(IF(PROFIL!$J$15&lt;&gt;"",PROFIL!$D$12*(1-PROFIL!$J$15),PROFIL!$D$12))</f>
        <v>0</v>
      </c>
      <c r="V16" s="19" t="s">
        <v>181</v>
      </c>
      <c r="W16" s="18" t="s">
        <v>203</v>
      </c>
    </row>
    <row r="17" spans="1:23" ht="14.1">
      <c r="A17" s="16" t="s">
        <v>197</v>
      </c>
      <c r="B17" s="17" t="s">
        <v>189</v>
      </c>
      <c r="C17" s="18" t="s">
        <v>25</v>
      </c>
      <c r="D17" s="18" t="s">
        <v>28</v>
      </c>
      <c r="E17" s="68" t="s">
        <v>204</v>
      </c>
      <c r="F17" s="45">
        <f>IF((H17+I17+J17+K17+L17+M17+N17)=0,"-",(H17+I17+J17+K17+L17+M17+N17))</f>
        <v>1.5</v>
      </c>
      <c r="G17" s="28">
        <f t="shared" si="7"/>
        <v>1225</v>
      </c>
      <c r="H17" s="40"/>
      <c r="I17" s="40">
        <v>1</v>
      </c>
      <c r="J17" s="40">
        <v>0.5</v>
      </c>
      <c r="K17" s="40"/>
      <c r="L17" s="40"/>
      <c r="M17" s="40"/>
      <c r="N17" s="40"/>
      <c r="O17" s="159">
        <f>H17*(IF(PROFIL!$J$15&lt;&gt;"",PROFIL!$D$6*(1-PROFIL!$J$15),PROFIL!$D$6))</f>
        <v>0</v>
      </c>
      <c r="P17" s="159">
        <f>I17*(IF(PROFIL!$J$15&lt;&gt;"",PROFIL!$D$7*(1-PROFIL!$J$15),PROFIL!$D$7))</f>
        <v>850</v>
      </c>
      <c r="Q17" s="159">
        <f>J17*(IF(PROFIL!$J$15&lt;&gt;"",PROFIL!$D$8*(1-PROFIL!$J$15),PROFIL!$D$8))</f>
        <v>375</v>
      </c>
      <c r="R17" s="159">
        <f>K17*(IF(PROFIL!$J$15&lt;&gt;"",PROFIL!$D$9*(1-PROFIL!$J$15),PROFIL!$D$9))</f>
        <v>0</v>
      </c>
      <c r="S17" s="159">
        <f>L17*(IF(PROFIL!$J$15&lt;&gt;"",PROFIL!$D$10*(1-PROFIL!$J$15),PROFIL!$D$10))</f>
        <v>0</v>
      </c>
      <c r="T17" s="159">
        <f>M17*(IF(PROFIL!$J$15&lt;&gt;"",PROFIL!$D$11*(1-PROFIL!$J$15),PROFIL!$D$11))</f>
        <v>0</v>
      </c>
      <c r="U17" s="159">
        <f>N17*(IF(PROFIL!$J$15&lt;&gt;"",PROFIL!$D$12*(1-PROFIL!$J$15),PROFIL!$D$12))</f>
        <v>0</v>
      </c>
      <c r="V17" s="19" t="s">
        <v>181</v>
      </c>
      <c r="W17" s="18" t="s">
        <v>205</v>
      </c>
    </row>
    <row r="18" spans="1:23" ht="14.1">
      <c r="A18" s="16" t="s">
        <v>188</v>
      </c>
      <c r="B18" s="17" t="s">
        <v>189</v>
      </c>
      <c r="C18" s="18" t="s">
        <v>42</v>
      </c>
      <c r="D18" s="18" t="s">
        <v>43</v>
      </c>
      <c r="E18" s="68" t="s">
        <v>190</v>
      </c>
      <c r="F18" s="45">
        <f t="shared" si="6"/>
        <v>5</v>
      </c>
      <c r="G18" s="28">
        <f t="shared" si="7"/>
        <v>3750</v>
      </c>
      <c r="H18" s="40">
        <v>5</v>
      </c>
      <c r="I18" s="40"/>
      <c r="J18" s="40"/>
      <c r="K18" s="40"/>
      <c r="L18" s="40"/>
      <c r="M18" s="40"/>
      <c r="N18" s="40"/>
      <c r="O18" s="159">
        <f>H18*(IF(PROFIL!$J$15&lt;&gt;"",PROFIL!$D$6*(1-PROFIL!$J$15),PROFIL!$D$6))</f>
        <v>3750</v>
      </c>
      <c r="P18" s="159">
        <f>I18*(IF(PROFIL!$J$15&lt;&gt;"",PROFIL!$D$7*(1-PROFIL!$J$15),PROFIL!$D$7))</f>
        <v>0</v>
      </c>
      <c r="Q18" s="159">
        <f>J18*(IF(PROFIL!$J$15&lt;&gt;"",PROFIL!$D$8*(1-PROFIL!$J$15),PROFIL!$D$8))</f>
        <v>0</v>
      </c>
      <c r="R18" s="159">
        <f>K18*(IF(PROFIL!$J$15&lt;&gt;"",PROFIL!$D$9*(1-PROFIL!$J$15),PROFIL!$D$9))</f>
        <v>0</v>
      </c>
      <c r="S18" s="159">
        <f>L18*(IF(PROFIL!$J$15&lt;&gt;"",PROFIL!$D$10*(1-PROFIL!$J$15),PROFIL!$D$10))</f>
        <v>0</v>
      </c>
      <c r="T18" s="159">
        <f>M18*(IF(PROFIL!$J$15&lt;&gt;"",PROFIL!$D$11*(1-PROFIL!$J$15),PROFIL!$D$11))</f>
        <v>0</v>
      </c>
      <c r="U18" s="159">
        <f>N18*(IF(PROFIL!$J$15&lt;&gt;"",PROFIL!$D$12*(1-PROFIL!$J$15),PROFIL!$D$12))</f>
        <v>0</v>
      </c>
      <c r="V18" s="19"/>
      <c r="W18" s="18"/>
    </row>
    <row r="19" spans="1:23" ht="14.1">
      <c r="A19" s="16" t="s">
        <v>206</v>
      </c>
      <c r="B19" s="17" t="s">
        <v>189</v>
      </c>
      <c r="C19" s="18" t="s">
        <v>27</v>
      </c>
      <c r="D19" s="18" t="s">
        <v>34</v>
      </c>
      <c r="E19" s="68" t="s">
        <v>207</v>
      </c>
      <c r="F19" s="45" t="str">
        <f>IF((H19+I19+J19+K19+L19+M19+N19)=0,"-",(H19+I19+J19+K19+L19+M19+N19))</f>
        <v>-</v>
      </c>
      <c r="G19" s="178" t="str">
        <f>IF((O19+P19+Q19+R19+S19+T19+U19)=0,"-",(O19+P19+Q19+R19+S19+T19+U19))</f>
        <v>-</v>
      </c>
      <c r="H19" s="40"/>
      <c r="I19" s="40"/>
      <c r="J19" s="40"/>
      <c r="K19" s="40"/>
      <c r="L19" s="40"/>
      <c r="M19" s="40"/>
      <c r="N19" s="40"/>
      <c r="O19" s="159">
        <f>H19*(IF(PROFIL!$J$15&lt;&gt;"",PROFIL!$D$6*(1-PROFIL!$J$15),PROFIL!$D$6))</f>
        <v>0</v>
      </c>
      <c r="P19" s="159">
        <f>I19*(IF(PROFIL!$J$15&lt;&gt;"",PROFIL!$D$7*(1-PROFIL!$J$15),PROFIL!$D$7))</f>
        <v>0</v>
      </c>
      <c r="Q19" s="159">
        <f>J19*(IF(PROFIL!$J$15&lt;&gt;"",PROFIL!$D$8*(1-PROFIL!$J$15),PROFIL!$D$8))</f>
        <v>0</v>
      </c>
      <c r="R19" s="159">
        <f>K19*(IF(PROFIL!$J$15&lt;&gt;"",PROFIL!$D$9*(1-PROFIL!$J$15),PROFIL!$D$9))</f>
        <v>0</v>
      </c>
      <c r="S19" s="159">
        <f>L19*(IF(PROFIL!$J$15&lt;&gt;"",PROFIL!$D$10*(1-PROFIL!$J$15),PROFIL!$D$10))</f>
        <v>0</v>
      </c>
      <c r="T19" s="159">
        <f>M19*(IF(PROFIL!$J$15&lt;&gt;"",PROFIL!$D$11*(1-PROFIL!$J$15),PROFIL!$D$11))</f>
        <v>0</v>
      </c>
      <c r="U19" s="159">
        <f>N19*(IF(PROFIL!$J$15&lt;&gt;"",PROFIL!$D$12*(1-PROFIL!$J$15),PROFIL!$D$12))</f>
        <v>0</v>
      </c>
      <c r="V19" s="19" t="s">
        <v>184</v>
      </c>
      <c r="W19" s="18"/>
    </row>
    <row r="20" spans="1:23" ht="14.1">
      <c r="A20" s="16" t="s">
        <v>206</v>
      </c>
      <c r="B20" s="17" t="s">
        <v>189</v>
      </c>
      <c r="C20" s="18" t="s">
        <v>27</v>
      </c>
      <c r="D20" s="18" t="s">
        <v>34</v>
      </c>
      <c r="E20" s="68" t="s">
        <v>208</v>
      </c>
      <c r="F20" s="45">
        <f t="shared" si="6"/>
        <v>1.5</v>
      </c>
      <c r="G20" s="28">
        <f t="shared" si="7"/>
        <v>1125</v>
      </c>
      <c r="H20" s="40"/>
      <c r="I20" s="40"/>
      <c r="J20" s="40">
        <v>1.5</v>
      </c>
      <c r="K20" s="40"/>
      <c r="L20" s="40"/>
      <c r="M20" s="40"/>
      <c r="N20" s="40"/>
      <c r="O20" s="159">
        <f>H20*(IF(PROFIL!$J$15&lt;&gt;"",PROFIL!$D$6*(1-PROFIL!$J$15),PROFIL!$D$6))</f>
        <v>0</v>
      </c>
      <c r="P20" s="159">
        <f>I20*(IF(PROFIL!$J$15&lt;&gt;"",PROFIL!$D$7*(1-PROFIL!$J$15),PROFIL!$D$7))</f>
        <v>0</v>
      </c>
      <c r="Q20" s="159">
        <f>J20*(IF(PROFIL!$J$15&lt;&gt;"",PROFIL!$D$8*(1-PROFIL!$J$15),PROFIL!$D$8))</f>
        <v>1125</v>
      </c>
      <c r="R20" s="159">
        <f>K20*(IF(PROFIL!$J$15&lt;&gt;"",PROFIL!$D$9*(1-PROFIL!$J$15),PROFIL!$D$9))</f>
        <v>0</v>
      </c>
      <c r="S20" s="159">
        <f>L20*(IF(PROFIL!$J$15&lt;&gt;"",PROFIL!$D$10*(1-PROFIL!$J$15),PROFIL!$D$10))</f>
        <v>0</v>
      </c>
      <c r="T20" s="159">
        <f>M20*(IF(PROFIL!$J$15&lt;&gt;"",PROFIL!$D$11*(1-PROFIL!$J$15),PROFIL!$D$11))</f>
        <v>0</v>
      </c>
      <c r="U20" s="159">
        <f>N20*(IF(PROFIL!$J$15&lt;&gt;"",PROFIL!$D$12*(1-PROFIL!$J$15),PROFIL!$D$12))</f>
        <v>0</v>
      </c>
      <c r="V20" s="19" t="s">
        <v>184</v>
      </c>
      <c r="W20" s="18" t="s">
        <v>199</v>
      </c>
    </row>
    <row r="21" spans="1:23" ht="14.1">
      <c r="A21" s="16" t="s">
        <v>206</v>
      </c>
      <c r="B21" s="17" t="s">
        <v>189</v>
      </c>
      <c r="C21" s="18" t="s">
        <v>27</v>
      </c>
      <c r="D21" s="18" t="s">
        <v>34</v>
      </c>
      <c r="E21" s="68" t="s">
        <v>209</v>
      </c>
      <c r="F21" s="45">
        <f t="shared" si="6"/>
        <v>4</v>
      </c>
      <c r="G21" s="28">
        <f t="shared" si="7"/>
        <v>3000</v>
      </c>
      <c r="H21" s="40"/>
      <c r="I21" s="40"/>
      <c r="J21" s="40">
        <v>4</v>
      </c>
      <c r="K21" s="40"/>
      <c r="L21" s="40"/>
      <c r="M21" s="40"/>
      <c r="N21" s="40"/>
      <c r="O21" s="159">
        <f>H21*(IF(PROFIL!$J$15&lt;&gt;"",PROFIL!$D$6*(1-PROFIL!$J$15),PROFIL!$D$6))</f>
        <v>0</v>
      </c>
      <c r="P21" s="159">
        <f>I21*(IF(PROFIL!$J$15&lt;&gt;"",PROFIL!$D$7*(1-PROFIL!$J$15),PROFIL!$D$7))</f>
        <v>0</v>
      </c>
      <c r="Q21" s="159">
        <f>J21*(IF(PROFIL!$J$15&lt;&gt;"",PROFIL!$D$8*(1-PROFIL!$J$15),PROFIL!$D$8))</f>
        <v>3000</v>
      </c>
      <c r="R21" s="159">
        <f>K21*(IF(PROFIL!$J$15&lt;&gt;"",PROFIL!$D$9*(1-PROFIL!$J$15),PROFIL!$D$9))</f>
        <v>0</v>
      </c>
      <c r="S21" s="159">
        <f>L21*(IF(PROFIL!$J$15&lt;&gt;"",PROFIL!$D$10*(1-PROFIL!$J$15),PROFIL!$D$10))</f>
        <v>0</v>
      </c>
      <c r="T21" s="159">
        <f>M21*(IF(PROFIL!$J$15&lt;&gt;"",PROFIL!$D$11*(1-PROFIL!$J$15),PROFIL!$D$11))</f>
        <v>0</v>
      </c>
      <c r="U21" s="159">
        <f>N21*(IF(PROFIL!$J$15&lt;&gt;"",PROFIL!$D$12*(1-PROFIL!$J$15),PROFIL!$D$12))</f>
        <v>0</v>
      </c>
      <c r="V21" s="19" t="s">
        <v>184</v>
      </c>
      <c r="W21" s="18"/>
    </row>
    <row r="22" spans="1:23" ht="14.1">
      <c r="A22" s="16" t="s">
        <v>206</v>
      </c>
      <c r="B22" s="17" t="s">
        <v>189</v>
      </c>
      <c r="C22" s="18" t="s">
        <v>27</v>
      </c>
      <c r="D22" s="18" t="s">
        <v>34</v>
      </c>
      <c r="E22" s="68" t="s">
        <v>210</v>
      </c>
      <c r="F22" s="45">
        <f t="shared" si="6"/>
        <v>1</v>
      </c>
      <c r="G22" s="28">
        <f t="shared" si="7"/>
        <v>750</v>
      </c>
      <c r="H22" s="40"/>
      <c r="I22" s="40"/>
      <c r="J22" s="40">
        <v>1</v>
      </c>
      <c r="K22" s="40"/>
      <c r="L22" s="40"/>
      <c r="M22" s="40"/>
      <c r="N22" s="40"/>
      <c r="O22" s="159">
        <f>H22*(IF(PROFIL!$J$15&lt;&gt;"",PROFIL!$D$6*(1-PROFIL!$J$15),PROFIL!$D$6))</f>
        <v>0</v>
      </c>
      <c r="P22" s="159">
        <f>I22*(IF(PROFIL!$J$15&lt;&gt;"",PROFIL!$D$7*(1-PROFIL!$J$15),PROFIL!$D$7))</f>
        <v>0</v>
      </c>
      <c r="Q22" s="159">
        <f>J22*(IF(PROFIL!$J$15&lt;&gt;"",PROFIL!$D$8*(1-PROFIL!$J$15),PROFIL!$D$8))</f>
        <v>750</v>
      </c>
      <c r="R22" s="159">
        <f>K22*(IF(PROFIL!$J$15&lt;&gt;"",PROFIL!$D$9*(1-PROFIL!$J$15),PROFIL!$D$9))</f>
        <v>0</v>
      </c>
      <c r="S22" s="159">
        <f>L22*(IF(PROFIL!$J$15&lt;&gt;"",PROFIL!$D$10*(1-PROFIL!$J$15),PROFIL!$D$10))</f>
        <v>0</v>
      </c>
      <c r="T22" s="159">
        <f>M22*(IF(PROFIL!$J$15&lt;&gt;"",PROFIL!$D$11*(1-PROFIL!$J$15),PROFIL!$D$11))</f>
        <v>0</v>
      </c>
      <c r="U22" s="159">
        <f>N22*(IF(PROFIL!$J$15&lt;&gt;"",PROFIL!$D$12*(1-PROFIL!$J$15),PROFIL!$D$12))</f>
        <v>0</v>
      </c>
      <c r="V22" s="19" t="s">
        <v>184</v>
      </c>
      <c r="W22" s="18" t="s">
        <v>211</v>
      </c>
    </row>
    <row r="23" spans="1:23" ht="14.1">
      <c r="A23" s="16" t="s">
        <v>206</v>
      </c>
      <c r="B23" s="17" t="s">
        <v>189</v>
      </c>
      <c r="C23" s="18" t="s">
        <v>27</v>
      </c>
      <c r="D23" s="18" t="s">
        <v>34</v>
      </c>
      <c r="E23" s="68" t="s">
        <v>212</v>
      </c>
      <c r="F23" s="45">
        <f t="shared" si="6"/>
        <v>1</v>
      </c>
      <c r="G23" s="28">
        <f t="shared" si="7"/>
        <v>750</v>
      </c>
      <c r="H23" s="40"/>
      <c r="I23" s="40"/>
      <c r="J23" s="40">
        <v>1</v>
      </c>
      <c r="K23" s="40"/>
      <c r="L23" s="40"/>
      <c r="M23" s="40"/>
      <c r="N23" s="40"/>
      <c r="O23" s="159">
        <f>H23*(IF(PROFIL!$J$15&lt;&gt;"",PROFIL!$D$6*(1-PROFIL!$J$15),PROFIL!$D$6))</f>
        <v>0</v>
      </c>
      <c r="P23" s="159">
        <f>I23*(IF(PROFIL!$J$15&lt;&gt;"",PROFIL!$D$7*(1-PROFIL!$J$15),PROFIL!$D$7))</f>
        <v>0</v>
      </c>
      <c r="Q23" s="159">
        <f>J23*(IF(PROFIL!$J$15&lt;&gt;"",PROFIL!$D$8*(1-PROFIL!$J$15),PROFIL!$D$8))</f>
        <v>750</v>
      </c>
      <c r="R23" s="159">
        <f>K23*(IF(PROFIL!$J$15&lt;&gt;"",PROFIL!$D$9*(1-PROFIL!$J$15),PROFIL!$D$9))</f>
        <v>0</v>
      </c>
      <c r="S23" s="159">
        <f>L23*(IF(PROFIL!$J$15&lt;&gt;"",PROFIL!$D$10*(1-PROFIL!$J$15),PROFIL!$D$10))</f>
        <v>0</v>
      </c>
      <c r="T23" s="159">
        <f>M23*(IF(PROFIL!$J$15&lt;&gt;"",PROFIL!$D$11*(1-PROFIL!$J$15),PROFIL!$D$11))</f>
        <v>0</v>
      </c>
      <c r="U23" s="159">
        <f>N23*(IF(PROFIL!$J$15&lt;&gt;"",PROFIL!$D$12*(1-PROFIL!$J$15),PROFIL!$D$12))</f>
        <v>0</v>
      </c>
      <c r="V23" s="19" t="s">
        <v>184</v>
      </c>
      <c r="W23" s="18" t="s">
        <v>213</v>
      </c>
    </row>
    <row r="24" spans="1:23" ht="14.1">
      <c r="A24" s="16" t="s">
        <v>214</v>
      </c>
      <c r="B24" s="17" t="s">
        <v>189</v>
      </c>
      <c r="C24" s="18" t="s">
        <v>30</v>
      </c>
      <c r="D24" s="18" t="s">
        <v>49</v>
      </c>
      <c r="E24" s="68" t="s">
        <v>215</v>
      </c>
      <c r="F24" s="45">
        <f t="shared" si="6"/>
        <v>1</v>
      </c>
      <c r="G24" s="28">
        <f t="shared" si="7"/>
        <v>750</v>
      </c>
      <c r="H24" s="40"/>
      <c r="I24" s="40"/>
      <c r="J24" s="40">
        <v>1</v>
      </c>
      <c r="K24" s="40"/>
      <c r="L24" s="40"/>
      <c r="M24" s="40"/>
      <c r="N24" s="40"/>
      <c r="O24" s="159">
        <f>H24*(IF(PROFIL!$J$15&lt;&gt;"",PROFIL!$D$6*(1-PROFIL!$J$15),PROFIL!$D$6))</f>
        <v>0</v>
      </c>
      <c r="P24" s="159">
        <f>I24*(IF(PROFIL!$J$15&lt;&gt;"",PROFIL!$D$7*(1-PROFIL!$J$15),PROFIL!$D$7))</f>
        <v>0</v>
      </c>
      <c r="Q24" s="159">
        <f>J24*(IF(PROFIL!$J$15&lt;&gt;"",PROFIL!$D$8*(1-PROFIL!$J$15),PROFIL!$D$8))</f>
        <v>750</v>
      </c>
      <c r="R24" s="159">
        <f>K24*(IF(PROFIL!$J$15&lt;&gt;"",PROFIL!$D$9*(1-PROFIL!$J$15),PROFIL!$D$9))</f>
        <v>0</v>
      </c>
      <c r="S24" s="159">
        <f>L24*(IF(PROFIL!$J$15&lt;&gt;"",PROFIL!$D$10*(1-PROFIL!$J$15),PROFIL!$D$10))</f>
        <v>0</v>
      </c>
      <c r="T24" s="159">
        <f>M24*(IF(PROFIL!$J$15&lt;&gt;"",PROFIL!$D$11*(1-PROFIL!$J$15),PROFIL!$D$11))</f>
        <v>0</v>
      </c>
      <c r="U24" s="159">
        <f>N24*(IF(PROFIL!$J$15&lt;&gt;"",PROFIL!$D$12*(1-PROFIL!$J$15),PROFIL!$D$12))</f>
        <v>0</v>
      </c>
      <c r="V24" s="19" t="s">
        <v>181</v>
      </c>
      <c r="W24" s="18" t="s">
        <v>216</v>
      </c>
    </row>
    <row r="25" spans="1:23" ht="14.1">
      <c r="A25" s="16" t="s">
        <v>214</v>
      </c>
      <c r="B25" s="17" t="s">
        <v>189</v>
      </c>
      <c r="C25" s="18" t="s">
        <v>30</v>
      </c>
      <c r="D25" s="18" t="s">
        <v>49</v>
      </c>
      <c r="E25" s="68" t="s">
        <v>217</v>
      </c>
      <c r="F25" s="45">
        <f t="shared" si="6"/>
        <v>1</v>
      </c>
      <c r="G25" s="28">
        <f t="shared" si="7"/>
        <v>750</v>
      </c>
      <c r="H25" s="40"/>
      <c r="I25" s="40"/>
      <c r="J25" s="40">
        <v>1</v>
      </c>
      <c r="K25" s="40"/>
      <c r="L25" s="40"/>
      <c r="M25" s="40"/>
      <c r="N25" s="40"/>
      <c r="O25" s="159">
        <f>H25*(IF(PROFIL!$J$15&lt;&gt;"",PROFIL!$D$6*(1-PROFIL!$J$15),PROFIL!$D$6))</f>
        <v>0</v>
      </c>
      <c r="P25" s="159">
        <f>I25*(IF(PROFIL!$J$15&lt;&gt;"",PROFIL!$D$7*(1-PROFIL!$J$15),PROFIL!$D$7))</f>
        <v>0</v>
      </c>
      <c r="Q25" s="159">
        <f>J25*(IF(PROFIL!$J$15&lt;&gt;"",PROFIL!$D$8*(1-PROFIL!$J$15),PROFIL!$D$8))</f>
        <v>750</v>
      </c>
      <c r="R25" s="159">
        <f>K25*(IF(PROFIL!$J$15&lt;&gt;"",PROFIL!$D$9*(1-PROFIL!$J$15),PROFIL!$D$9))</f>
        <v>0</v>
      </c>
      <c r="S25" s="159">
        <f>L25*(IF(PROFIL!$J$15&lt;&gt;"",PROFIL!$D$10*(1-PROFIL!$J$15),PROFIL!$D$10))</f>
        <v>0</v>
      </c>
      <c r="T25" s="159">
        <f>M25*(IF(PROFIL!$J$15&lt;&gt;"",PROFIL!$D$11*(1-PROFIL!$J$15),PROFIL!$D$11))</f>
        <v>0</v>
      </c>
      <c r="U25" s="159">
        <f>N25*(IF(PROFIL!$J$15&lt;&gt;"",PROFIL!$D$12*(1-PROFIL!$J$15),PROFIL!$D$12))</f>
        <v>0</v>
      </c>
      <c r="V25" s="19" t="s">
        <v>184</v>
      </c>
      <c r="W25" s="18"/>
    </row>
    <row r="26" spans="1:23" ht="14.1">
      <c r="A26" s="16" t="s">
        <v>218</v>
      </c>
      <c r="B26" s="17" t="s">
        <v>189</v>
      </c>
      <c r="C26" s="18" t="s">
        <v>30</v>
      </c>
      <c r="D26" s="18" t="s">
        <v>40</v>
      </c>
      <c r="E26" s="68" t="s">
        <v>219</v>
      </c>
      <c r="F26" s="45">
        <f t="shared" si="6"/>
        <v>2</v>
      </c>
      <c r="G26" s="28">
        <f t="shared" si="7"/>
        <v>1450</v>
      </c>
      <c r="H26" s="40"/>
      <c r="I26" s="40"/>
      <c r="J26" s="40">
        <v>1</v>
      </c>
      <c r="K26" s="40">
        <v>1</v>
      </c>
      <c r="L26" s="40"/>
      <c r="M26" s="40"/>
      <c r="N26" s="40"/>
      <c r="O26" s="159">
        <f>H26*(IF(PROFIL!$J$15&lt;&gt;"",PROFIL!$D$6*(1-PROFIL!$J$15),PROFIL!$D$6))</f>
        <v>0</v>
      </c>
      <c r="P26" s="159">
        <f>I26*(IF(PROFIL!$J$15&lt;&gt;"",PROFIL!$D$7*(1-PROFIL!$J$15),PROFIL!$D$7))</f>
        <v>0</v>
      </c>
      <c r="Q26" s="159">
        <f>J26*(IF(PROFIL!$J$15&lt;&gt;"",PROFIL!$D$8*(1-PROFIL!$J$15),PROFIL!$D$8))</f>
        <v>750</v>
      </c>
      <c r="R26" s="159">
        <f>K26*(IF(PROFIL!$J$15&lt;&gt;"",PROFIL!$D$9*(1-PROFIL!$J$15),PROFIL!$D$9))</f>
        <v>700</v>
      </c>
      <c r="S26" s="159">
        <f>L26*(IF(PROFIL!$J$15&lt;&gt;"",PROFIL!$D$10*(1-PROFIL!$J$15),PROFIL!$D$10))</f>
        <v>0</v>
      </c>
      <c r="T26" s="159">
        <f>M26*(IF(PROFIL!$J$15&lt;&gt;"",PROFIL!$D$11*(1-PROFIL!$J$15),PROFIL!$D$11))</f>
        <v>0</v>
      </c>
      <c r="U26" s="159">
        <f>N26*(IF(PROFIL!$J$15&lt;&gt;"",PROFIL!$D$12*(1-PROFIL!$J$15),PROFIL!$D$12))</f>
        <v>0</v>
      </c>
      <c r="V26" s="19" t="s">
        <v>184</v>
      </c>
      <c r="W26" s="18"/>
    </row>
    <row r="27" spans="1:23" ht="14.1">
      <c r="A27" s="16" t="s">
        <v>218</v>
      </c>
      <c r="B27" s="17" t="s">
        <v>189</v>
      </c>
      <c r="C27" s="18" t="s">
        <v>30</v>
      </c>
      <c r="D27" s="18" t="s">
        <v>40</v>
      </c>
      <c r="E27" s="68" t="s">
        <v>220</v>
      </c>
      <c r="F27" s="45">
        <f t="shared" si="6"/>
        <v>2</v>
      </c>
      <c r="G27" s="28">
        <f t="shared" si="7"/>
        <v>1450</v>
      </c>
      <c r="H27" s="40"/>
      <c r="I27" s="40"/>
      <c r="J27" s="40">
        <v>1</v>
      </c>
      <c r="K27" s="40">
        <v>1</v>
      </c>
      <c r="L27" s="40"/>
      <c r="M27" s="40"/>
      <c r="N27" s="40"/>
      <c r="O27" s="159">
        <f>H27*(IF(PROFIL!$J$15&lt;&gt;"",PROFIL!$D$6*(1-PROFIL!$J$15),PROFIL!$D$6))</f>
        <v>0</v>
      </c>
      <c r="P27" s="159">
        <f>I27*(IF(PROFIL!$J$15&lt;&gt;"",PROFIL!$D$7*(1-PROFIL!$J$15),PROFIL!$D$7))</f>
        <v>0</v>
      </c>
      <c r="Q27" s="159">
        <f>J27*(IF(PROFIL!$J$15&lt;&gt;"",PROFIL!$D$8*(1-PROFIL!$J$15),PROFIL!$D$8))</f>
        <v>750</v>
      </c>
      <c r="R27" s="159">
        <f>K27*(IF(PROFIL!$J$15&lt;&gt;"",PROFIL!$D$9*(1-PROFIL!$J$15),PROFIL!$D$9))</f>
        <v>700</v>
      </c>
      <c r="S27" s="159">
        <f>L27*(IF(PROFIL!$J$15&lt;&gt;"",PROFIL!$D$10*(1-PROFIL!$J$15),PROFIL!$D$10))</f>
        <v>0</v>
      </c>
      <c r="T27" s="159">
        <f>M27*(IF(PROFIL!$J$15&lt;&gt;"",PROFIL!$D$11*(1-PROFIL!$J$15),PROFIL!$D$11))</f>
        <v>0</v>
      </c>
      <c r="U27" s="159">
        <f>N27*(IF(PROFIL!$J$15&lt;&gt;"",PROFIL!$D$12*(1-PROFIL!$J$15),PROFIL!$D$12))</f>
        <v>0</v>
      </c>
      <c r="V27" s="19" t="s">
        <v>184</v>
      </c>
      <c r="W27" s="18" t="s">
        <v>221</v>
      </c>
    </row>
    <row r="28" spans="1:23" ht="14.1">
      <c r="A28" s="16" t="s">
        <v>218</v>
      </c>
      <c r="B28" s="17" t="s">
        <v>189</v>
      </c>
      <c r="C28" s="18" t="s">
        <v>30</v>
      </c>
      <c r="D28" s="18" t="s">
        <v>40</v>
      </c>
      <c r="E28" s="68" t="s">
        <v>222</v>
      </c>
      <c r="F28" s="45">
        <f t="shared" ref="F28:F29" si="11">IF((H28+I28+J28+K28+L28+M28+N28)=0,"-",(H28+I28+J28+K28+L28+M28+N28))</f>
        <v>2</v>
      </c>
      <c r="G28" s="28">
        <f t="shared" ref="G28:G29" si="12">IF((O28+P28+Q28+R28+S28+T28+U28)=0,"-",(O28+P28+Q28+R28+S28+T28+U28))</f>
        <v>1450</v>
      </c>
      <c r="H28" s="40"/>
      <c r="I28" s="40"/>
      <c r="J28" s="40">
        <v>1</v>
      </c>
      <c r="K28" s="40">
        <v>1</v>
      </c>
      <c r="L28" s="40"/>
      <c r="M28" s="40"/>
      <c r="N28" s="40"/>
      <c r="O28" s="159">
        <f>H28*(IF(PROFIL!$J$15&lt;&gt;"",PROFIL!$D$6*(1-PROFIL!$J$15),PROFIL!$D$6))</f>
        <v>0</v>
      </c>
      <c r="P28" s="159">
        <f>I28*(IF(PROFIL!$J$15&lt;&gt;"",PROFIL!$D$7*(1-PROFIL!$J$15),PROFIL!$D$7))</f>
        <v>0</v>
      </c>
      <c r="Q28" s="159">
        <f>J28*(IF(PROFIL!$J$15&lt;&gt;"",PROFIL!$D$8*(1-PROFIL!$J$15),PROFIL!$D$8))</f>
        <v>750</v>
      </c>
      <c r="R28" s="159">
        <f>K28*(IF(PROFIL!$J$15&lt;&gt;"",PROFIL!$D$9*(1-PROFIL!$J$15),PROFIL!$D$9))</f>
        <v>700</v>
      </c>
      <c r="S28" s="159">
        <f>L28*(IF(PROFIL!$J$15&lt;&gt;"",PROFIL!$D$10*(1-PROFIL!$J$15),PROFIL!$D$10))</f>
        <v>0</v>
      </c>
      <c r="T28" s="159">
        <f>M28*(IF(PROFIL!$J$15&lt;&gt;"",PROFIL!$D$11*(1-PROFIL!$J$15),PROFIL!$D$11))</f>
        <v>0</v>
      </c>
      <c r="U28" s="159">
        <f>N28*(IF(PROFIL!$J$15&lt;&gt;"",PROFIL!$D$12*(1-PROFIL!$J$15),PROFIL!$D$12))</f>
        <v>0</v>
      </c>
      <c r="V28" s="19" t="s">
        <v>184</v>
      </c>
      <c r="W28" s="18"/>
    </row>
    <row r="29" spans="1:23" ht="14.1">
      <c r="A29" s="16" t="s">
        <v>223</v>
      </c>
      <c r="B29" s="17" t="s">
        <v>189</v>
      </c>
      <c r="C29" s="18" t="s">
        <v>33</v>
      </c>
      <c r="D29" s="18" t="s">
        <v>48</v>
      </c>
      <c r="E29" s="177" t="s">
        <v>224</v>
      </c>
      <c r="F29" s="45">
        <f t="shared" si="11"/>
        <v>3</v>
      </c>
      <c r="G29" s="28">
        <f t="shared" si="12"/>
        <v>2450</v>
      </c>
      <c r="H29" s="40"/>
      <c r="I29" s="40">
        <v>2</v>
      </c>
      <c r="J29" s="40">
        <v>1</v>
      </c>
      <c r="K29" s="40"/>
      <c r="L29" s="40"/>
      <c r="M29" s="40"/>
      <c r="N29" s="40"/>
      <c r="O29" s="159">
        <f>H29*(IF(PROFIL!$J$15&lt;&gt;"",PROFIL!$D$6*(1-PROFIL!$J$15),PROFIL!$D$6))</f>
        <v>0</v>
      </c>
      <c r="P29" s="159">
        <f>I29*(IF(PROFIL!$J$15&lt;&gt;"",PROFIL!$D$7*(1-PROFIL!$J$15),PROFIL!$D$7))</f>
        <v>1700</v>
      </c>
      <c r="Q29" s="159">
        <f>J29*(IF(PROFIL!$J$15&lt;&gt;"",PROFIL!$D$8*(1-PROFIL!$J$15),PROFIL!$D$8))</f>
        <v>750</v>
      </c>
      <c r="R29" s="159">
        <f>K29*(IF(PROFIL!$J$15&lt;&gt;"",PROFIL!$D$9*(1-PROFIL!$J$15),PROFIL!$D$9))</f>
        <v>0</v>
      </c>
      <c r="S29" s="159">
        <f>L29*(IF(PROFIL!$J$15&lt;&gt;"",PROFIL!$D$10*(1-PROFIL!$J$15),PROFIL!$D$10))</f>
        <v>0</v>
      </c>
      <c r="T29" s="159">
        <f>M29*(IF(PROFIL!$J$15&lt;&gt;"",PROFIL!$D$11*(1-PROFIL!$J$15),PROFIL!$D$11))</f>
        <v>0</v>
      </c>
      <c r="U29" s="159">
        <f>N29*(IF(PROFIL!$J$15&lt;&gt;"",PROFIL!$D$12*(1-PROFIL!$J$15),PROFIL!$D$12))</f>
        <v>0</v>
      </c>
      <c r="V29" s="19" t="s">
        <v>181</v>
      </c>
      <c r="W29" s="18"/>
    </row>
    <row r="30" spans="1:23" ht="14.1">
      <c r="A30" s="16" t="s">
        <v>223</v>
      </c>
      <c r="B30" s="17" t="s">
        <v>189</v>
      </c>
      <c r="C30" s="18" t="s">
        <v>33</v>
      </c>
      <c r="D30" s="18" t="s">
        <v>48</v>
      </c>
      <c r="E30" s="177" t="s">
        <v>225</v>
      </c>
      <c r="F30" s="45">
        <f t="shared" ref="F30:F32" si="13">IF((H30+I30+J30+K30+L30+M30+N30)=0,"-",(H30+I30+J30+K30+L30+M30+N30))</f>
        <v>3</v>
      </c>
      <c r="G30" s="28">
        <f t="shared" ref="G30:G32" si="14">IF((O30+P30+Q30+R30+S30+T30+U30)=0,"-",(O30+P30+Q30+R30+S30+T30+U30))</f>
        <v>2200</v>
      </c>
      <c r="H30" s="40"/>
      <c r="I30" s="40"/>
      <c r="J30" s="40">
        <v>2</v>
      </c>
      <c r="K30" s="40">
        <v>1</v>
      </c>
      <c r="L30" s="40"/>
      <c r="M30" s="40"/>
      <c r="N30" s="40"/>
      <c r="O30" s="159">
        <f>H30*(IF(PROFIL!$J$15&lt;&gt;"",PROFIL!$D$6*(1-PROFIL!$J$15),PROFIL!$D$6))</f>
        <v>0</v>
      </c>
      <c r="P30" s="159">
        <f>I30*(IF(PROFIL!$J$15&lt;&gt;"",PROFIL!$D$7*(1-PROFIL!$J$15),PROFIL!$D$7))</f>
        <v>0</v>
      </c>
      <c r="Q30" s="159">
        <f>J30*(IF(PROFIL!$J$15&lt;&gt;"",PROFIL!$D$8*(1-PROFIL!$J$15),PROFIL!$D$8))</f>
        <v>1500</v>
      </c>
      <c r="R30" s="159">
        <f>K30*(IF(PROFIL!$J$15&lt;&gt;"",PROFIL!$D$9*(1-PROFIL!$J$15),PROFIL!$D$9))</f>
        <v>700</v>
      </c>
      <c r="S30" s="159">
        <f>L30*(IF(PROFIL!$J$15&lt;&gt;"",PROFIL!$D$10*(1-PROFIL!$J$15),PROFIL!$D$10))</f>
        <v>0</v>
      </c>
      <c r="T30" s="159">
        <f>M30*(IF(PROFIL!$J$15&lt;&gt;"",PROFIL!$D$11*(1-PROFIL!$J$15),PROFIL!$D$11))</f>
        <v>0</v>
      </c>
      <c r="U30" s="159">
        <f>N30*(IF(PROFIL!$J$15&lt;&gt;"",PROFIL!$D$12*(1-PROFIL!$J$15),PROFIL!$D$12))</f>
        <v>0</v>
      </c>
      <c r="V30" s="19" t="s">
        <v>181</v>
      </c>
      <c r="W30" s="18"/>
    </row>
    <row r="31" spans="1:23" ht="14.1">
      <c r="A31" s="16" t="s">
        <v>226</v>
      </c>
      <c r="B31" s="17" t="s">
        <v>227</v>
      </c>
      <c r="C31" s="18" t="s">
        <v>42</v>
      </c>
      <c r="D31" s="18" t="s">
        <v>43</v>
      </c>
      <c r="E31" s="93" t="s">
        <v>228</v>
      </c>
      <c r="F31" s="45">
        <f>IF((H31+I31+J31+K31+L31+M31+N31)=0,"-",(H31+I31+J31+K31+L31+M31+N31))</f>
        <v>7</v>
      </c>
      <c r="G31" s="28">
        <f>IF((O31+P31+Q31+R31+S31+T31+U31)=0,"-",(O31+P31+Q31+R31+S31+T31+U31))</f>
        <v>5250</v>
      </c>
      <c r="H31" s="40">
        <v>7</v>
      </c>
      <c r="I31" s="40"/>
      <c r="J31" s="40"/>
      <c r="K31" s="40"/>
      <c r="L31" s="40"/>
      <c r="M31" s="40"/>
      <c r="N31" s="40"/>
      <c r="O31" s="159">
        <f>H31*(IF(PROFIL!$J$15&lt;&gt;"",PROFIL!$D$6*(1-PROFIL!$J$15),PROFIL!$D$6))</f>
        <v>5250</v>
      </c>
      <c r="P31" s="159">
        <f>I31*(IF(PROFIL!$J$15&lt;&gt;"",PROFIL!$D$7*(1-PROFIL!$J$15),PROFIL!$D$7))</f>
        <v>0</v>
      </c>
      <c r="Q31" s="159">
        <f>J31*(IF(PROFIL!$J$15&lt;&gt;"",PROFIL!$D$8*(1-PROFIL!$J$15),PROFIL!$D$8))</f>
        <v>0</v>
      </c>
      <c r="R31" s="159">
        <f>K31*(IF(PROFIL!$J$15&lt;&gt;"",PROFIL!$D$9*(1-PROFIL!$J$15),PROFIL!$D$9))</f>
        <v>0</v>
      </c>
      <c r="S31" s="159">
        <f>L31*(IF(PROFIL!$J$15&lt;&gt;"",PROFIL!$D$10*(1-PROFIL!$J$15),PROFIL!$D$10))</f>
        <v>0</v>
      </c>
      <c r="T31" s="159">
        <f>M31*(IF(PROFIL!$J$15&lt;&gt;"",PROFIL!$D$11*(1-PROFIL!$J$15),PROFIL!$D$11))</f>
        <v>0</v>
      </c>
      <c r="U31" s="159">
        <f>N31*(IF(PROFIL!$J$15&lt;&gt;"",PROFIL!$D$12*(1-PROFIL!$J$15),PROFIL!$D$12))</f>
        <v>0</v>
      </c>
      <c r="V31" s="19" t="s">
        <v>181</v>
      </c>
      <c r="W31" s="18"/>
    </row>
    <row r="32" spans="1:23" ht="23.1">
      <c r="A32" s="16" t="s">
        <v>226</v>
      </c>
      <c r="B32" s="17" t="s">
        <v>227</v>
      </c>
      <c r="C32" s="18" t="s">
        <v>30</v>
      </c>
      <c r="D32" s="18" t="s">
        <v>37</v>
      </c>
      <c r="E32" s="93" t="s">
        <v>229</v>
      </c>
      <c r="F32" s="45">
        <f t="shared" si="13"/>
        <v>1</v>
      </c>
      <c r="G32" s="28">
        <f t="shared" si="14"/>
        <v>700</v>
      </c>
      <c r="H32" s="40"/>
      <c r="I32" s="40"/>
      <c r="J32" s="40"/>
      <c r="K32" s="40">
        <v>1</v>
      </c>
      <c r="L32" s="40"/>
      <c r="M32" s="40"/>
      <c r="N32" s="40"/>
      <c r="O32" s="159">
        <f>H32*(IF(PROFIL!$J$15&lt;&gt;"",PROFIL!$D$6*(1-PROFIL!$J$15),PROFIL!$D$6))</f>
        <v>0</v>
      </c>
      <c r="P32" s="159">
        <f>I32*(IF(PROFIL!$J$15&lt;&gt;"",PROFIL!$D$7*(1-PROFIL!$J$15),PROFIL!$D$7))</f>
        <v>0</v>
      </c>
      <c r="Q32" s="159">
        <f>J32*(IF(PROFIL!$J$15&lt;&gt;"",PROFIL!$D$8*(1-PROFIL!$J$15),PROFIL!$D$8))</f>
        <v>0</v>
      </c>
      <c r="R32" s="159">
        <f>K32*(IF(PROFIL!$J$15&lt;&gt;"",PROFIL!$D$9*(1-PROFIL!$J$15),PROFIL!$D$9))</f>
        <v>700</v>
      </c>
      <c r="S32" s="159">
        <f>L32*(IF(PROFIL!$J$15&lt;&gt;"",PROFIL!$D$10*(1-PROFIL!$J$15),PROFIL!$D$10))</f>
        <v>0</v>
      </c>
      <c r="T32" s="159">
        <f>M32*(IF(PROFIL!$J$15&lt;&gt;"",PROFIL!$D$11*(1-PROFIL!$J$15),PROFIL!$D$11))</f>
        <v>0</v>
      </c>
      <c r="U32" s="159">
        <f>N32*(IF(PROFIL!$J$15&lt;&gt;"",PROFIL!$D$12*(1-PROFIL!$J$15),PROFIL!$D$12))</f>
        <v>0</v>
      </c>
      <c r="V32" s="19" t="s">
        <v>181</v>
      </c>
      <c r="W32" s="18"/>
    </row>
    <row r="33" spans="1:23" ht="14.1">
      <c r="A33" s="16" t="s">
        <v>226</v>
      </c>
      <c r="B33" s="17" t="s">
        <v>227</v>
      </c>
      <c r="C33" s="18" t="s">
        <v>30</v>
      </c>
      <c r="D33" s="18" t="s">
        <v>37</v>
      </c>
      <c r="E33" s="93" t="s">
        <v>230</v>
      </c>
      <c r="F33" s="45">
        <f>IF((H33+I33+J33+K33+L33+M33+N33)=0,"-",(H33+I33+J33+K33+L33+M33+N33))</f>
        <v>1</v>
      </c>
      <c r="G33" s="28">
        <f>IF((O33+P33+Q33+R33+S33+T33+U33)=0,"-",(O33+P33+Q33+R33+S33+T33+U33))</f>
        <v>700</v>
      </c>
      <c r="H33" s="40"/>
      <c r="I33" s="40"/>
      <c r="J33" s="40"/>
      <c r="K33" s="40">
        <v>1</v>
      </c>
      <c r="L33" s="40"/>
      <c r="M33" s="40"/>
      <c r="N33" s="40"/>
      <c r="O33" s="159">
        <f>H33*(IF(PROFIL!$J$15&lt;&gt;"",PROFIL!$D$6*(1-PROFIL!$J$15),PROFIL!$D$6))</f>
        <v>0</v>
      </c>
      <c r="P33" s="159">
        <f>I33*(IF(PROFIL!$J$15&lt;&gt;"",PROFIL!$D$7*(1-PROFIL!$J$15),PROFIL!$D$7))</f>
        <v>0</v>
      </c>
      <c r="Q33" s="159">
        <f>J33*(IF(PROFIL!$J$15&lt;&gt;"",PROFIL!$D$8*(1-PROFIL!$J$15),PROFIL!$D$8))</f>
        <v>0</v>
      </c>
      <c r="R33" s="159">
        <f>K33*(IF(PROFIL!$J$15&lt;&gt;"",PROFIL!$D$9*(1-PROFIL!$J$15),PROFIL!$D$9))</f>
        <v>700</v>
      </c>
      <c r="S33" s="159">
        <f>L33*(IF(PROFIL!$J$15&lt;&gt;"",PROFIL!$D$10*(1-PROFIL!$J$15),PROFIL!$D$10))</f>
        <v>0</v>
      </c>
      <c r="T33" s="159">
        <f>M33*(IF(PROFIL!$J$15&lt;&gt;"",PROFIL!$D$11*(1-PROFIL!$J$15),PROFIL!$D$11))</f>
        <v>0</v>
      </c>
      <c r="U33" s="159">
        <f>N33*(IF(PROFIL!$J$15&lt;&gt;"",PROFIL!$D$12*(1-PROFIL!$J$15),PROFIL!$D$12))</f>
        <v>0</v>
      </c>
      <c r="V33" s="19" t="s">
        <v>181</v>
      </c>
      <c r="W33" s="18"/>
    </row>
    <row r="34" spans="1:23" ht="14.1">
      <c r="A34" s="16" t="s">
        <v>226</v>
      </c>
      <c r="B34" s="17" t="s">
        <v>227</v>
      </c>
      <c r="C34" s="18" t="s">
        <v>30</v>
      </c>
      <c r="D34" s="18" t="s">
        <v>37</v>
      </c>
      <c r="E34" s="93" t="s">
        <v>231</v>
      </c>
      <c r="F34" s="45">
        <f t="shared" si="4"/>
        <v>1.5</v>
      </c>
      <c r="G34" s="28">
        <f t="shared" si="5"/>
        <v>1050</v>
      </c>
      <c r="H34" s="40"/>
      <c r="I34" s="40"/>
      <c r="J34" s="40"/>
      <c r="K34" s="40">
        <v>1.5</v>
      </c>
      <c r="L34" s="40"/>
      <c r="M34" s="40"/>
      <c r="N34" s="40"/>
      <c r="O34" s="159">
        <f>H34*(IF(PROFIL!$J$15&lt;&gt;"",PROFIL!$D$6*(1-PROFIL!$J$15),PROFIL!$D$6))</f>
        <v>0</v>
      </c>
      <c r="P34" s="159">
        <f>I34*(IF(PROFIL!$J$15&lt;&gt;"",PROFIL!$D$7*(1-PROFIL!$J$15),PROFIL!$D$7))</f>
        <v>0</v>
      </c>
      <c r="Q34" s="159">
        <f>J34*(IF(PROFIL!$J$15&lt;&gt;"",PROFIL!$D$8*(1-PROFIL!$J$15),PROFIL!$D$8))</f>
        <v>0</v>
      </c>
      <c r="R34" s="159">
        <f>K34*(IF(PROFIL!$J$15&lt;&gt;"",PROFIL!$D$9*(1-PROFIL!$J$15),PROFIL!$D$9))</f>
        <v>1050</v>
      </c>
      <c r="S34" s="159">
        <f>L34*(IF(PROFIL!$J$15&lt;&gt;"",PROFIL!$D$10*(1-PROFIL!$J$15),PROFIL!$D$10))</f>
        <v>0</v>
      </c>
      <c r="T34" s="159">
        <f>M34*(IF(PROFIL!$J$15&lt;&gt;"",PROFIL!$D$11*(1-PROFIL!$J$15),PROFIL!$D$11))</f>
        <v>0</v>
      </c>
      <c r="U34" s="159">
        <f>N34*(IF(PROFIL!$J$15&lt;&gt;"",PROFIL!$D$12*(1-PROFIL!$J$15),PROFIL!$D$12))</f>
        <v>0</v>
      </c>
      <c r="V34" s="19" t="s">
        <v>181</v>
      </c>
      <c r="W34" s="18"/>
    </row>
    <row r="35" spans="1:23" ht="14.1">
      <c r="A35" s="16" t="s">
        <v>226</v>
      </c>
      <c r="B35" s="17" t="s">
        <v>227</v>
      </c>
      <c r="C35" s="18" t="s">
        <v>30</v>
      </c>
      <c r="D35" s="18" t="s">
        <v>37</v>
      </c>
      <c r="E35" s="93" t="s">
        <v>232</v>
      </c>
      <c r="F35" s="45">
        <f>IF((H35+I35+J35+K35+L35+M35+N35)=0,"-",(H35+I35+J35+K35+L35+M35+N35))</f>
        <v>3</v>
      </c>
      <c r="G35" s="28">
        <f>IF((O35+P35+Q35+R35+S35+T35+U35)=0,"-",(O35+P35+Q35+R35+S35+T35+U35))</f>
        <v>2100</v>
      </c>
      <c r="H35" s="40"/>
      <c r="I35" s="40"/>
      <c r="J35" s="40"/>
      <c r="K35" s="40">
        <v>3</v>
      </c>
      <c r="L35" s="40"/>
      <c r="M35" s="40"/>
      <c r="N35" s="40"/>
      <c r="O35" s="159">
        <f>H35*(IF(PROFIL!$J$15&lt;&gt;"",PROFIL!$D$6*(1-PROFIL!$J$15),PROFIL!$D$6))</f>
        <v>0</v>
      </c>
      <c r="P35" s="159">
        <f>I35*(IF(PROFIL!$J$15&lt;&gt;"",PROFIL!$D$7*(1-PROFIL!$J$15),PROFIL!$D$7))</f>
        <v>0</v>
      </c>
      <c r="Q35" s="159">
        <f>J35*(IF(PROFIL!$J$15&lt;&gt;"",PROFIL!$D$8*(1-PROFIL!$J$15),PROFIL!$D$8))</f>
        <v>0</v>
      </c>
      <c r="R35" s="159">
        <f>K35*(IF(PROFIL!$J$15&lt;&gt;"",PROFIL!$D$9*(1-PROFIL!$J$15),PROFIL!$D$9))</f>
        <v>2100</v>
      </c>
      <c r="S35" s="159">
        <f>L35*(IF(PROFIL!$J$15&lt;&gt;"",PROFIL!$D$10*(1-PROFIL!$J$15),PROFIL!$D$10))</f>
        <v>0</v>
      </c>
      <c r="T35" s="159">
        <f>M35*(IF(PROFIL!$J$15&lt;&gt;"",PROFIL!$D$11*(1-PROFIL!$J$15),PROFIL!$D$11))</f>
        <v>0</v>
      </c>
      <c r="U35" s="159">
        <f>N35*(IF(PROFIL!$J$15&lt;&gt;"",PROFIL!$D$12*(1-PROFIL!$J$15),PROFIL!$D$12))</f>
        <v>0</v>
      </c>
      <c r="V35" s="19" t="s">
        <v>181</v>
      </c>
      <c r="W35" s="18"/>
    </row>
    <row r="36" spans="1:23" ht="14.1">
      <c r="A36" s="16"/>
      <c r="B36" s="17"/>
      <c r="C36" s="18"/>
      <c r="D36" s="18"/>
      <c r="E36" s="93"/>
      <c r="F36" s="45" t="str">
        <f>IF((H36+I36+J36+K36+L36+M36+N36)=0,"-",(H36+I36+J36+K36+L36+M36+N36))</f>
        <v>-</v>
      </c>
      <c r="G36" s="28" t="str">
        <f>IF((O36+P36+Q36+R36+S36+T36+U36)=0,"-",(O36+P36+Q36+R36+S36+T36+U36))</f>
        <v>-</v>
      </c>
      <c r="H36" s="40"/>
      <c r="I36" s="40"/>
      <c r="J36" s="40"/>
      <c r="K36" s="40"/>
      <c r="L36" s="40"/>
      <c r="M36" s="40"/>
      <c r="N36" s="40"/>
      <c r="O36" s="159">
        <f>H36*(IF(PROFIL!$J$15&lt;&gt;"",PROFIL!$D$6*(1-PROFIL!$J$15),PROFIL!$D$6))</f>
        <v>0</v>
      </c>
      <c r="P36" s="159">
        <f>I36*(IF(PROFIL!$J$15&lt;&gt;"",PROFIL!$D$7*(1-PROFIL!$J$15),PROFIL!$D$7))</f>
        <v>0</v>
      </c>
      <c r="Q36" s="159">
        <f>J36*(IF(PROFIL!$J$15&lt;&gt;"",PROFIL!$D$8*(1-PROFIL!$J$15),PROFIL!$D$8))</f>
        <v>0</v>
      </c>
      <c r="R36" s="159">
        <f>K36*(IF(PROFIL!$J$15&lt;&gt;"",PROFIL!$D$9*(1-PROFIL!$J$15),PROFIL!$D$9))</f>
        <v>0</v>
      </c>
      <c r="S36" s="159">
        <f>L36*(IF(PROFIL!$J$15&lt;&gt;"",PROFIL!$D$10*(1-PROFIL!$J$15),PROFIL!$D$10))</f>
        <v>0</v>
      </c>
      <c r="T36" s="159">
        <f>M36*(IF(PROFIL!$J$15&lt;&gt;"",PROFIL!$D$11*(1-PROFIL!$J$15),PROFIL!$D$11))</f>
        <v>0</v>
      </c>
      <c r="U36" s="159">
        <f>N36*(IF(PROFIL!$J$15&lt;&gt;"",PROFIL!$D$12*(1-PROFIL!$J$15),PROFIL!$D$12))</f>
        <v>0</v>
      </c>
      <c r="V36" s="19"/>
      <c r="W36" s="18"/>
    </row>
    <row r="37" spans="1:23" ht="14.1">
      <c r="A37" s="16" t="s">
        <v>226</v>
      </c>
      <c r="B37" s="17" t="s">
        <v>227</v>
      </c>
      <c r="C37" s="18" t="s">
        <v>30</v>
      </c>
      <c r="D37" s="18" t="s">
        <v>37</v>
      </c>
      <c r="E37" s="93" t="s">
        <v>233</v>
      </c>
      <c r="F37" s="45">
        <f t="shared" ref="F37" si="15">IF((H37+I37+J37+K37+L37+M37+N37)=0,"-",(H37+I37+J37+K37+L37+M37+N37))</f>
        <v>1.5</v>
      </c>
      <c r="G37" s="28">
        <f t="shared" ref="G37" si="16">IF((O37+P37+Q37+R37+S37+T37+U37)=0,"-",(O37+P37+Q37+R37+S37+T37+U37))</f>
        <v>1050</v>
      </c>
      <c r="H37" s="40"/>
      <c r="I37" s="40"/>
      <c r="J37" s="40"/>
      <c r="K37" s="40">
        <v>1.5</v>
      </c>
      <c r="L37" s="40"/>
      <c r="M37" s="40"/>
      <c r="N37" s="40"/>
      <c r="O37" s="159">
        <f>H37*(IF(PROFIL!$J$15&lt;&gt;"",PROFIL!$D$6*(1-PROFIL!$J$15),PROFIL!$D$6))</f>
        <v>0</v>
      </c>
      <c r="P37" s="159">
        <f>I37*(IF(PROFIL!$J$15&lt;&gt;"",PROFIL!$D$7*(1-PROFIL!$J$15),PROFIL!$D$7))</f>
        <v>0</v>
      </c>
      <c r="Q37" s="159">
        <f>J37*(IF(PROFIL!$J$15&lt;&gt;"",PROFIL!$D$8*(1-PROFIL!$J$15),PROFIL!$D$8))</f>
        <v>0</v>
      </c>
      <c r="R37" s="159">
        <f>K37*(IF(PROFIL!$J$15&lt;&gt;"",PROFIL!$D$9*(1-PROFIL!$J$15),PROFIL!$D$9))</f>
        <v>1050</v>
      </c>
      <c r="S37" s="159">
        <f>L37*(IF(PROFIL!$J$15&lt;&gt;"",PROFIL!$D$10*(1-PROFIL!$J$15),PROFIL!$D$10))</f>
        <v>0</v>
      </c>
      <c r="T37" s="159">
        <f>M37*(IF(PROFIL!$J$15&lt;&gt;"",PROFIL!$D$11*(1-PROFIL!$J$15),PROFIL!$D$11))</f>
        <v>0</v>
      </c>
      <c r="U37" s="159">
        <f>N37*(IF(PROFIL!$J$15&lt;&gt;"",PROFIL!$D$12*(1-PROFIL!$J$15),PROFIL!$D$12))</f>
        <v>0</v>
      </c>
      <c r="V37" s="19" t="s">
        <v>181</v>
      </c>
      <c r="W37" s="18"/>
    </row>
    <row r="38" spans="1:23" ht="14.1">
      <c r="A38" s="16" t="s">
        <v>226</v>
      </c>
      <c r="B38" s="17" t="s">
        <v>227</v>
      </c>
      <c r="C38" s="18" t="s">
        <v>30</v>
      </c>
      <c r="D38" s="18" t="s">
        <v>37</v>
      </c>
      <c r="E38" s="93" t="s">
        <v>234</v>
      </c>
      <c r="F38" s="45">
        <f>IF((H38+I38+J38+K38+L38+M38+N38)=0,"-",(H38+I38+J38+K38+L38+M38+N38))</f>
        <v>2</v>
      </c>
      <c r="G38" s="28">
        <f>IF((O38+P38+Q38+R38+S38+T38+U38)=0,"-",(O38+P38+Q38+R38+S38+T38+U38))</f>
        <v>1400</v>
      </c>
      <c r="H38" s="40"/>
      <c r="I38" s="40"/>
      <c r="J38" s="40"/>
      <c r="K38" s="40">
        <v>2</v>
      </c>
      <c r="L38" s="40"/>
      <c r="M38" s="40"/>
      <c r="N38" s="40"/>
      <c r="O38" s="159">
        <f>H38*(IF(PROFIL!$J$15&lt;&gt;"",PROFIL!$D$6*(1-PROFIL!$J$15),PROFIL!$D$6))</f>
        <v>0</v>
      </c>
      <c r="P38" s="159">
        <f>I38*(IF(PROFIL!$J$15&lt;&gt;"",PROFIL!$D$7*(1-PROFIL!$J$15),PROFIL!$D$7))</f>
        <v>0</v>
      </c>
      <c r="Q38" s="159">
        <f>J38*(IF(PROFIL!$J$15&lt;&gt;"",PROFIL!$D$8*(1-PROFIL!$J$15),PROFIL!$D$8))</f>
        <v>0</v>
      </c>
      <c r="R38" s="159">
        <f>K38*(IF(PROFIL!$J$15&lt;&gt;"",PROFIL!$D$9*(1-PROFIL!$J$15),PROFIL!$D$9))</f>
        <v>1400</v>
      </c>
      <c r="S38" s="159">
        <f>L38*(IF(PROFIL!$J$15&lt;&gt;"",PROFIL!$D$10*(1-PROFIL!$J$15),PROFIL!$D$10))</f>
        <v>0</v>
      </c>
      <c r="T38" s="159">
        <f>M38*(IF(PROFIL!$J$15&lt;&gt;"",PROFIL!$D$11*(1-PROFIL!$J$15),PROFIL!$D$11))</f>
        <v>0</v>
      </c>
      <c r="U38" s="159">
        <f>N38*(IF(PROFIL!$J$15&lt;&gt;"",PROFIL!$D$12*(1-PROFIL!$J$15),PROFIL!$D$12))</f>
        <v>0</v>
      </c>
      <c r="V38" s="19" t="s">
        <v>181</v>
      </c>
      <c r="W38" s="18"/>
    </row>
    <row r="39" spans="1:23" ht="14.1">
      <c r="A39" s="16" t="s">
        <v>226</v>
      </c>
      <c r="B39" s="17" t="s">
        <v>227</v>
      </c>
      <c r="C39" s="18" t="s">
        <v>30</v>
      </c>
      <c r="D39" s="18" t="s">
        <v>37</v>
      </c>
      <c r="E39" s="93" t="s">
        <v>235</v>
      </c>
      <c r="F39" s="45">
        <f>IF((H39+I39+J39+K39+L39+M39+N39)=0,"-",(H39+I39+J39+K39+L39+M39+N39))</f>
        <v>0.5</v>
      </c>
      <c r="G39" s="28">
        <f>IF((O39+P39+Q39+R39+S39+T39+U39)=0,"-",(O39+P39+Q39+R39+S39+T39+U39))</f>
        <v>350</v>
      </c>
      <c r="H39" s="40"/>
      <c r="I39" s="40"/>
      <c r="J39" s="40"/>
      <c r="K39" s="40">
        <v>0.5</v>
      </c>
      <c r="L39" s="40"/>
      <c r="M39" s="40"/>
      <c r="N39" s="40"/>
      <c r="O39" s="159">
        <f>H39*(IF(PROFIL!$J$15&lt;&gt;"",PROFIL!$D$6*(1-PROFIL!$J$15),PROFIL!$D$6))</f>
        <v>0</v>
      </c>
      <c r="P39" s="159">
        <f>I39*(IF(PROFIL!$J$15&lt;&gt;"",PROFIL!$D$7*(1-PROFIL!$J$15),PROFIL!$D$7))</f>
        <v>0</v>
      </c>
      <c r="Q39" s="159">
        <f>J39*(IF(PROFIL!$J$15&lt;&gt;"",PROFIL!$D$8*(1-PROFIL!$J$15),PROFIL!$D$8))</f>
        <v>0</v>
      </c>
      <c r="R39" s="159">
        <f>K39*(IF(PROFIL!$J$15&lt;&gt;"",PROFIL!$D$9*(1-PROFIL!$J$15),PROFIL!$D$9))</f>
        <v>350</v>
      </c>
      <c r="S39" s="159">
        <f>L39*(IF(PROFIL!$J$15&lt;&gt;"",PROFIL!$D$10*(1-PROFIL!$J$15),PROFIL!$D$10))</f>
        <v>0</v>
      </c>
      <c r="T39" s="159">
        <f>M39*(IF(PROFIL!$J$15&lt;&gt;"",PROFIL!$D$11*(1-PROFIL!$J$15),PROFIL!$D$11))</f>
        <v>0</v>
      </c>
      <c r="U39" s="159">
        <f>N39*(IF(PROFIL!$J$15&lt;&gt;"",PROFIL!$D$12*(1-PROFIL!$J$15),PROFIL!$D$12))</f>
        <v>0</v>
      </c>
      <c r="V39" s="19" t="s">
        <v>181</v>
      </c>
      <c r="W39" s="18"/>
    </row>
    <row r="40" spans="1:23" ht="14.1">
      <c r="A40" s="16" t="s">
        <v>226</v>
      </c>
      <c r="B40" s="17" t="s">
        <v>227</v>
      </c>
      <c r="C40" s="18" t="s">
        <v>30</v>
      </c>
      <c r="D40" s="18" t="s">
        <v>37</v>
      </c>
      <c r="E40" s="93" t="s">
        <v>236</v>
      </c>
      <c r="F40" s="45">
        <f>IF((H40+I40+J40+K40+L40+M40+N40)=0,"-",(H40+I40+J40+K40+L40+M40+N40))</f>
        <v>0.5</v>
      </c>
      <c r="G40" s="28">
        <f>IF((O40+P40+Q40+R40+S40+T40+U40)=0,"-",(O40+P40+Q40+R40+S40+T40+U40))</f>
        <v>350</v>
      </c>
      <c r="H40" s="40"/>
      <c r="I40" s="40"/>
      <c r="J40" s="40"/>
      <c r="K40" s="40">
        <v>0.5</v>
      </c>
      <c r="L40" s="40"/>
      <c r="M40" s="40"/>
      <c r="N40" s="40"/>
      <c r="O40" s="159">
        <f>H40*(IF(PROFIL!$J$15&lt;&gt;"",PROFIL!$D$6*(1-PROFIL!$J$15),PROFIL!$D$6))</f>
        <v>0</v>
      </c>
      <c r="P40" s="159">
        <f>I40*(IF(PROFIL!$J$15&lt;&gt;"",PROFIL!$D$7*(1-PROFIL!$J$15),PROFIL!$D$7))</f>
        <v>0</v>
      </c>
      <c r="Q40" s="159">
        <f>J40*(IF(PROFIL!$J$15&lt;&gt;"",PROFIL!$D$8*(1-PROFIL!$J$15),PROFIL!$D$8))</f>
        <v>0</v>
      </c>
      <c r="R40" s="159">
        <f>K40*(IF(PROFIL!$J$15&lt;&gt;"",PROFIL!$D$9*(1-PROFIL!$J$15),PROFIL!$D$9))</f>
        <v>350</v>
      </c>
      <c r="S40" s="159">
        <f>L40*(IF(PROFIL!$J$15&lt;&gt;"",PROFIL!$D$10*(1-PROFIL!$J$15),PROFIL!$D$10))</f>
        <v>0</v>
      </c>
      <c r="T40" s="159">
        <f>M40*(IF(PROFIL!$J$15&lt;&gt;"",PROFIL!$D$11*(1-PROFIL!$J$15),PROFIL!$D$11))</f>
        <v>0</v>
      </c>
      <c r="U40" s="159">
        <f>N40*(IF(PROFIL!$J$15&lt;&gt;"",PROFIL!$D$12*(1-PROFIL!$J$15),PROFIL!$D$12))</f>
        <v>0</v>
      </c>
      <c r="V40" s="19" t="s">
        <v>181</v>
      </c>
      <c r="W40" s="18"/>
    </row>
    <row r="41" spans="1:23" ht="14.1">
      <c r="A41" s="16" t="s">
        <v>226</v>
      </c>
      <c r="B41" s="17" t="s">
        <v>227</v>
      </c>
      <c r="C41" s="18" t="s">
        <v>30</v>
      </c>
      <c r="D41" s="18" t="s">
        <v>37</v>
      </c>
      <c r="E41" s="93" t="s">
        <v>237</v>
      </c>
      <c r="F41" s="45">
        <f t="shared" ref="F41:F95" si="17">IF((H41+I41+J41+K41+L41+M41+N41)=0,"-",(H41+I41+J41+K41+L41+M41+N41))</f>
        <v>2</v>
      </c>
      <c r="G41" s="28">
        <f t="shared" ref="G41:G95" si="18">IF((O41+P41+Q41+R41+S41+T41+U41)=0,"-",(O41+P41+Q41+R41+S41+T41+U41))</f>
        <v>1400</v>
      </c>
      <c r="H41" s="40"/>
      <c r="I41" s="40"/>
      <c r="J41" s="40"/>
      <c r="K41" s="40">
        <v>2</v>
      </c>
      <c r="L41" s="40"/>
      <c r="M41" s="40"/>
      <c r="N41" s="40"/>
      <c r="O41" s="159">
        <f>H41*(IF(PROFIL!$J$15&lt;&gt;"",PROFIL!$D$6*(1-PROFIL!$J$15),PROFIL!$D$6))</f>
        <v>0</v>
      </c>
      <c r="P41" s="159">
        <f>I41*(IF(PROFIL!$J$15&lt;&gt;"",PROFIL!$D$7*(1-PROFIL!$J$15),PROFIL!$D$7))</f>
        <v>0</v>
      </c>
      <c r="Q41" s="159">
        <f>J41*(IF(PROFIL!$J$15&lt;&gt;"",PROFIL!$D$8*(1-PROFIL!$J$15),PROFIL!$D$8))</f>
        <v>0</v>
      </c>
      <c r="R41" s="159">
        <f>K41*(IF(PROFIL!$J$15&lt;&gt;"",PROFIL!$D$9*(1-PROFIL!$J$15),PROFIL!$D$9))</f>
        <v>1400</v>
      </c>
      <c r="S41" s="159">
        <f>L41*(IF(PROFIL!$J$15&lt;&gt;"",PROFIL!$D$10*(1-PROFIL!$J$15),PROFIL!$D$10))</f>
        <v>0</v>
      </c>
      <c r="T41" s="159">
        <f>M41*(IF(PROFIL!$J$15&lt;&gt;"",PROFIL!$D$11*(1-PROFIL!$J$15),PROFIL!$D$11))</f>
        <v>0</v>
      </c>
      <c r="U41" s="159">
        <f>N41*(IF(PROFIL!$J$15&lt;&gt;"",PROFIL!$D$12*(1-PROFIL!$J$15),PROFIL!$D$12))</f>
        <v>0</v>
      </c>
      <c r="V41" s="19" t="s">
        <v>181</v>
      </c>
      <c r="W41" s="18"/>
    </row>
    <row r="42" spans="1:23" ht="14.1">
      <c r="A42" s="16" t="s">
        <v>226</v>
      </c>
      <c r="B42" s="17" t="s">
        <v>227</v>
      </c>
      <c r="C42" s="18" t="s">
        <v>30</v>
      </c>
      <c r="D42" s="18" t="s">
        <v>37</v>
      </c>
      <c r="E42" s="93" t="s">
        <v>238</v>
      </c>
      <c r="F42" s="45">
        <f t="shared" ref="F42:F94" si="19">IF((H42+I42+J42+K42+L42+M42+N42)=0,"-",(H42+I42+J42+K42+L42+M42+N42))</f>
        <v>3</v>
      </c>
      <c r="G42" s="28">
        <f t="shared" ref="G42:G94" si="20">IF((O42+P42+Q42+R42+S42+T42+U42)=0,"-",(O42+P42+Q42+R42+S42+T42+U42))</f>
        <v>2150</v>
      </c>
      <c r="H42" s="40"/>
      <c r="I42" s="40"/>
      <c r="J42" s="40">
        <v>1</v>
      </c>
      <c r="K42" s="40">
        <v>2</v>
      </c>
      <c r="L42" s="40"/>
      <c r="M42" s="40"/>
      <c r="N42" s="40"/>
      <c r="O42" s="159">
        <f>H42*(IF(PROFIL!$J$15&lt;&gt;"",PROFIL!$D$6*(1-PROFIL!$J$15),PROFIL!$D$6))</f>
        <v>0</v>
      </c>
      <c r="P42" s="159">
        <f>I42*(IF(PROFIL!$J$15&lt;&gt;"",PROFIL!$D$7*(1-PROFIL!$J$15),PROFIL!$D$7))</f>
        <v>0</v>
      </c>
      <c r="Q42" s="159">
        <f>J42*(IF(PROFIL!$J$15&lt;&gt;"",PROFIL!$D$8*(1-PROFIL!$J$15),PROFIL!$D$8))</f>
        <v>750</v>
      </c>
      <c r="R42" s="159">
        <f>K42*(IF(PROFIL!$J$15&lt;&gt;"",PROFIL!$D$9*(1-PROFIL!$J$15),PROFIL!$D$9))</f>
        <v>1400</v>
      </c>
      <c r="S42" s="159">
        <f>L42*(IF(PROFIL!$J$15&lt;&gt;"",PROFIL!$D$10*(1-PROFIL!$J$15),PROFIL!$D$10))</f>
        <v>0</v>
      </c>
      <c r="T42" s="159">
        <f>M42*(IF(PROFIL!$J$15&lt;&gt;"",PROFIL!$D$11*(1-PROFIL!$J$15),PROFIL!$D$11))</f>
        <v>0</v>
      </c>
      <c r="U42" s="159">
        <f>N42*(IF(PROFIL!$J$15&lt;&gt;"",PROFIL!$D$12*(1-PROFIL!$J$15),PROFIL!$D$12))</f>
        <v>0</v>
      </c>
      <c r="V42" s="19" t="s">
        <v>181</v>
      </c>
      <c r="W42" s="18"/>
    </row>
    <row r="43" spans="1:23" ht="14.1">
      <c r="A43" s="16" t="s">
        <v>226</v>
      </c>
      <c r="B43" s="17" t="s">
        <v>227</v>
      </c>
      <c r="C43" s="18" t="s">
        <v>30</v>
      </c>
      <c r="D43" s="18" t="s">
        <v>37</v>
      </c>
      <c r="E43" s="93" t="s">
        <v>239</v>
      </c>
      <c r="F43" s="45">
        <f t="shared" si="19"/>
        <v>3</v>
      </c>
      <c r="G43" s="28">
        <f t="shared" si="20"/>
        <v>2100</v>
      </c>
      <c r="H43" s="40"/>
      <c r="I43" s="40"/>
      <c r="J43" s="40"/>
      <c r="K43" s="40">
        <v>3</v>
      </c>
      <c r="L43" s="40"/>
      <c r="M43" s="40"/>
      <c r="N43" s="40"/>
      <c r="O43" s="159">
        <f>H43*(IF(PROFIL!$J$15&lt;&gt;"",PROFIL!$D$6*(1-PROFIL!$J$15),PROFIL!$D$6))</f>
        <v>0</v>
      </c>
      <c r="P43" s="159">
        <f>I43*(IF(PROFIL!$J$15&lt;&gt;"",PROFIL!$D$7*(1-PROFIL!$J$15),PROFIL!$D$7))</f>
        <v>0</v>
      </c>
      <c r="Q43" s="159">
        <f>J43*(IF(PROFIL!$J$15&lt;&gt;"",PROFIL!$D$8*(1-PROFIL!$J$15),PROFIL!$D$8))</f>
        <v>0</v>
      </c>
      <c r="R43" s="159">
        <f>K43*(IF(PROFIL!$J$15&lt;&gt;"",PROFIL!$D$9*(1-PROFIL!$J$15),PROFIL!$D$9))</f>
        <v>2100</v>
      </c>
      <c r="S43" s="159">
        <f>L43*(IF(PROFIL!$J$15&lt;&gt;"",PROFIL!$D$10*(1-PROFIL!$J$15),PROFIL!$D$10))</f>
        <v>0</v>
      </c>
      <c r="T43" s="159">
        <f>M43*(IF(PROFIL!$J$15&lt;&gt;"",PROFIL!$D$11*(1-PROFIL!$J$15),PROFIL!$D$11))</f>
        <v>0</v>
      </c>
      <c r="U43" s="159">
        <f>N43*(IF(PROFIL!$J$15&lt;&gt;"",PROFIL!$D$12*(1-PROFIL!$J$15),PROFIL!$D$12))</f>
        <v>0</v>
      </c>
      <c r="V43" s="19" t="s">
        <v>184</v>
      </c>
      <c r="W43" s="39"/>
    </row>
    <row r="44" spans="1:23" ht="14.1">
      <c r="A44" s="16" t="s">
        <v>226</v>
      </c>
      <c r="B44" s="17" t="s">
        <v>227</v>
      </c>
      <c r="C44" s="18" t="s">
        <v>30</v>
      </c>
      <c r="D44" s="18" t="s">
        <v>37</v>
      </c>
      <c r="E44" s="93"/>
      <c r="F44" s="45" t="str">
        <f>IF((H44+I44+J44+K44+L44+M44+N44)=0,"-",(H44+I44+J44+K44+L44+M44+N44))</f>
        <v>-</v>
      </c>
      <c r="G44" s="28" t="str">
        <f>IF((O44+P44+Q44+R44+S44+T44+U44)=0,"-",(O44+P44+Q44+R44+S44+T44+U44))</f>
        <v>-</v>
      </c>
      <c r="H44" s="40"/>
      <c r="I44" s="40"/>
      <c r="J44" s="40"/>
      <c r="K44" s="40"/>
      <c r="L44" s="40"/>
      <c r="M44" s="40"/>
      <c r="N44" s="40"/>
      <c r="O44" s="159">
        <f>H44*(IF(PROFIL!$J$15&lt;&gt;"",PROFIL!$D$6*(1-PROFIL!$J$15),PROFIL!$D$6))</f>
        <v>0</v>
      </c>
      <c r="P44" s="159">
        <f>I44*(IF(PROFIL!$J$15&lt;&gt;"",PROFIL!$D$7*(1-PROFIL!$J$15),PROFIL!$D$7))</f>
        <v>0</v>
      </c>
      <c r="Q44" s="159">
        <f>J44*(IF(PROFIL!$J$15&lt;&gt;"",PROFIL!$D$8*(1-PROFIL!$J$15),PROFIL!$D$8))</f>
        <v>0</v>
      </c>
      <c r="R44" s="159">
        <f>K44*(IF(PROFIL!$J$15&lt;&gt;"",PROFIL!$D$9*(1-PROFIL!$J$15),PROFIL!$D$9))</f>
        <v>0</v>
      </c>
      <c r="S44" s="159">
        <f>L44*(IF(PROFIL!$J$15&lt;&gt;"",PROFIL!$D$10*(1-PROFIL!$J$15),PROFIL!$D$10))</f>
        <v>0</v>
      </c>
      <c r="T44" s="159">
        <f>M44*(IF(PROFIL!$J$15&lt;&gt;"",PROFIL!$D$11*(1-PROFIL!$J$15),PROFIL!$D$11))</f>
        <v>0</v>
      </c>
      <c r="U44" s="159">
        <f>N44*(IF(PROFIL!$J$15&lt;&gt;"",PROFIL!$D$12*(1-PROFIL!$J$15),PROFIL!$D$12))</f>
        <v>0</v>
      </c>
      <c r="V44" s="19" t="s">
        <v>184</v>
      </c>
      <c r="W44" s="39"/>
    </row>
    <row r="45" spans="1:23" ht="14.1">
      <c r="A45" s="16" t="s">
        <v>226</v>
      </c>
      <c r="B45" s="17" t="s">
        <v>227</v>
      </c>
      <c r="C45" s="18" t="s">
        <v>30</v>
      </c>
      <c r="D45" s="18" t="s">
        <v>37</v>
      </c>
      <c r="E45" s="93" t="s">
        <v>240</v>
      </c>
      <c r="F45" s="45">
        <f>IF((H45+I45+J45+K45+L45+M45+N45)=0,"-",(H45+I45+J45+K45+L45+M45+N45))</f>
        <v>2</v>
      </c>
      <c r="G45" s="28">
        <f>IF((O45+P45+Q45+R45+S45+T45+U45)=0,"-",(O45+P45+Q45+R45+S45+T45+U45))</f>
        <v>1400</v>
      </c>
      <c r="H45" s="40"/>
      <c r="I45" s="40"/>
      <c r="J45" s="40"/>
      <c r="K45" s="40">
        <v>2</v>
      </c>
      <c r="L45" s="40"/>
      <c r="M45" s="40"/>
      <c r="N45" s="40"/>
      <c r="O45" s="159">
        <f>H45*(IF(PROFIL!$J$15&lt;&gt;"",PROFIL!$D$6*(1-PROFIL!$J$15),PROFIL!$D$6))</f>
        <v>0</v>
      </c>
      <c r="P45" s="159">
        <f>I45*(IF(PROFIL!$J$15&lt;&gt;"",PROFIL!$D$7*(1-PROFIL!$J$15),PROFIL!$D$7))</f>
        <v>0</v>
      </c>
      <c r="Q45" s="159">
        <f>J45*(IF(PROFIL!$J$15&lt;&gt;"",PROFIL!$D$8*(1-PROFIL!$J$15),PROFIL!$D$8))</f>
        <v>0</v>
      </c>
      <c r="R45" s="159">
        <f>K45*(IF(PROFIL!$J$15&lt;&gt;"",PROFIL!$D$9*(1-PROFIL!$J$15),PROFIL!$D$9))</f>
        <v>1400</v>
      </c>
      <c r="S45" s="159">
        <f>L45*(IF(PROFIL!$J$15&lt;&gt;"",PROFIL!$D$10*(1-PROFIL!$J$15),PROFIL!$D$10))</f>
        <v>0</v>
      </c>
      <c r="T45" s="159">
        <f>M45*(IF(PROFIL!$J$15&lt;&gt;"",PROFIL!$D$11*(1-PROFIL!$J$15),PROFIL!$D$11))</f>
        <v>0</v>
      </c>
      <c r="U45" s="159">
        <f>N45*(IF(PROFIL!$J$15&lt;&gt;"",PROFIL!$D$12*(1-PROFIL!$J$15),PROFIL!$D$12))</f>
        <v>0</v>
      </c>
      <c r="V45" s="19" t="s">
        <v>184</v>
      </c>
      <c r="W45" s="39"/>
    </row>
    <row r="46" spans="1:23" ht="14.1">
      <c r="A46" s="16" t="s">
        <v>226</v>
      </c>
      <c r="B46" s="17" t="s">
        <v>227</v>
      </c>
      <c r="C46" s="18" t="s">
        <v>30</v>
      </c>
      <c r="D46" s="18" t="s">
        <v>37</v>
      </c>
      <c r="E46" s="93" t="s">
        <v>241</v>
      </c>
      <c r="F46" s="45">
        <f t="shared" si="19"/>
        <v>1</v>
      </c>
      <c r="G46" s="28">
        <f t="shared" si="20"/>
        <v>700</v>
      </c>
      <c r="H46" s="40"/>
      <c r="I46" s="40"/>
      <c r="J46" s="40"/>
      <c r="K46" s="40">
        <v>1</v>
      </c>
      <c r="L46" s="40"/>
      <c r="M46" s="40"/>
      <c r="N46" s="40"/>
      <c r="O46" s="159">
        <f>H46*(IF(PROFIL!$J$15&lt;&gt;"",PROFIL!$D$6*(1-PROFIL!$J$15),PROFIL!$D$6))</f>
        <v>0</v>
      </c>
      <c r="P46" s="159">
        <f>I46*(IF(PROFIL!$J$15&lt;&gt;"",PROFIL!$D$7*(1-PROFIL!$J$15),PROFIL!$D$7))</f>
        <v>0</v>
      </c>
      <c r="Q46" s="159">
        <f>J46*(IF(PROFIL!$J$15&lt;&gt;"",PROFIL!$D$8*(1-PROFIL!$J$15),PROFIL!$D$8))</f>
        <v>0</v>
      </c>
      <c r="R46" s="159">
        <f>K46*(IF(PROFIL!$J$15&lt;&gt;"",PROFIL!$D$9*(1-PROFIL!$J$15),PROFIL!$D$9))</f>
        <v>700</v>
      </c>
      <c r="S46" s="159">
        <f>L46*(IF(PROFIL!$J$15&lt;&gt;"",PROFIL!$D$10*(1-PROFIL!$J$15),PROFIL!$D$10))</f>
        <v>0</v>
      </c>
      <c r="T46" s="159">
        <f>M46*(IF(PROFIL!$J$15&lt;&gt;"",PROFIL!$D$11*(1-PROFIL!$J$15),PROFIL!$D$11))</f>
        <v>0</v>
      </c>
      <c r="U46" s="159">
        <f>N46*(IF(PROFIL!$J$15&lt;&gt;"",PROFIL!$D$12*(1-PROFIL!$J$15),PROFIL!$D$12))</f>
        <v>0</v>
      </c>
      <c r="V46" s="19" t="s">
        <v>184</v>
      </c>
      <c r="W46" s="39"/>
    </row>
    <row r="47" spans="1:23" ht="23.1">
      <c r="A47" s="16" t="s">
        <v>226</v>
      </c>
      <c r="B47" s="17" t="s">
        <v>227</v>
      </c>
      <c r="C47" s="18" t="s">
        <v>30</v>
      </c>
      <c r="D47" s="18" t="s">
        <v>37</v>
      </c>
      <c r="E47" s="93" t="s">
        <v>242</v>
      </c>
      <c r="F47" s="45" t="str">
        <f t="shared" ref="F47:F52" si="21">IF((H47+I47+J47+K47+L47+M47+N47)=0,"-",(H47+I47+J47+K47+L47+M47+N47))</f>
        <v>-</v>
      </c>
      <c r="G47" s="178" t="str">
        <f t="shared" ref="G47:G52" si="22">IF((O47+P47+Q47+R47+S47+T47+U47)=0,"-",(O47+P47+Q47+R47+S47+T47+U47))</f>
        <v>-</v>
      </c>
      <c r="H47" s="40"/>
      <c r="I47" s="40"/>
      <c r="J47" s="40"/>
      <c r="K47" s="40"/>
      <c r="L47" s="40"/>
      <c r="M47" s="40"/>
      <c r="N47" s="40"/>
      <c r="O47" s="159">
        <f>H47*(IF(PROFIL!$J$15&lt;&gt;"",PROFIL!$D$6*(1-PROFIL!$J$15),PROFIL!$D$6))</f>
        <v>0</v>
      </c>
      <c r="P47" s="159">
        <f>I47*(IF(PROFIL!$J$15&lt;&gt;"",PROFIL!$D$7*(1-PROFIL!$J$15),PROFIL!$D$7))</f>
        <v>0</v>
      </c>
      <c r="Q47" s="159">
        <f>J47*(IF(PROFIL!$J$15&lt;&gt;"",PROFIL!$D$8*(1-PROFIL!$J$15),PROFIL!$D$8))</f>
        <v>0</v>
      </c>
      <c r="R47" s="159">
        <f>K47*(IF(PROFIL!$J$15&lt;&gt;"",PROFIL!$D$9*(1-PROFIL!$J$15),PROFIL!$D$9))</f>
        <v>0</v>
      </c>
      <c r="S47" s="159">
        <f>L47*(IF(PROFIL!$J$15&lt;&gt;"",PROFIL!$D$10*(1-PROFIL!$J$15),PROFIL!$D$10))</f>
        <v>0</v>
      </c>
      <c r="T47" s="159">
        <f>M47*(IF(PROFIL!$J$15&lt;&gt;"",PROFIL!$D$11*(1-PROFIL!$J$15),PROFIL!$D$11))</f>
        <v>0</v>
      </c>
      <c r="U47" s="159">
        <f>N47*(IF(PROFIL!$J$15&lt;&gt;"",PROFIL!$D$12*(1-PROFIL!$J$15),PROFIL!$D$12))</f>
        <v>0</v>
      </c>
      <c r="V47" s="19" t="s">
        <v>184</v>
      </c>
      <c r="W47" s="39"/>
    </row>
    <row r="48" spans="1:23" ht="34.5">
      <c r="A48" s="16" t="s">
        <v>226</v>
      </c>
      <c r="B48" s="17" t="s">
        <v>227</v>
      </c>
      <c r="C48" s="18" t="s">
        <v>30</v>
      </c>
      <c r="D48" s="18" t="s">
        <v>37</v>
      </c>
      <c r="E48" s="93" t="s">
        <v>243</v>
      </c>
      <c r="F48" s="45">
        <f t="shared" si="21"/>
        <v>20</v>
      </c>
      <c r="G48" s="28">
        <f t="shared" si="22"/>
        <v>14500</v>
      </c>
      <c r="H48" s="40"/>
      <c r="I48" s="40"/>
      <c r="J48" s="40">
        <v>10</v>
      </c>
      <c r="K48" s="40">
        <v>10</v>
      </c>
      <c r="L48" s="40"/>
      <c r="M48" s="40"/>
      <c r="N48" s="40"/>
      <c r="O48" s="159">
        <f>H48*(IF(PROFIL!$J$15&lt;&gt;"",PROFIL!$D$6*(1-PROFIL!$J$15),PROFIL!$D$6))</f>
        <v>0</v>
      </c>
      <c r="P48" s="159">
        <f>I48*(IF(PROFIL!$J$15&lt;&gt;"",PROFIL!$D$7*(1-PROFIL!$J$15),PROFIL!$D$7))</f>
        <v>0</v>
      </c>
      <c r="Q48" s="159">
        <f>J48*(IF(PROFIL!$J$15&lt;&gt;"",PROFIL!$D$8*(1-PROFIL!$J$15),PROFIL!$D$8))</f>
        <v>7500</v>
      </c>
      <c r="R48" s="159">
        <f>K48*(IF(PROFIL!$J$15&lt;&gt;"",PROFIL!$D$9*(1-PROFIL!$J$15),PROFIL!$D$9))</f>
        <v>7000</v>
      </c>
      <c r="S48" s="159">
        <f>L48*(IF(PROFIL!$J$15&lt;&gt;"",PROFIL!$D$10*(1-PROFIL!$J$15),PROFIL!$D$10))</f>
        <v>0</v>
      </c>
      <c r="T48" s="159">
        <f>M48*(IF(PROFIL!$J$15&lt;&gt;"",PROFIL!$D$11*(1-PROFIL!$J$15),PROFIL!$D$11))</f>
        <v>0</v>
      </c>
      <c r="U48" s="159">
        <f>N48*(IF(PROFIL!$J$15&lt;&gt;"",PROFIL!$D$12*(1-PROFIL!$J$15),PROFIL!$D$12))</f>
        <v>0</v>
      </c>
      <c r="V48" s="19" t="s">
        <v>184</v>
      </c>
      <c r="W48" s="39" t="s">
        <v>244</v>
      </c>
    </row>
    <row r="49" spans="1:23" ht="14.1">
      <c r="A49" s="16" t="s">
        <v>226</v>
      </c>
      <c r="B49" s="17" t="s">
        <v>227</v>
      </c>
      <c r="C49" s="18" t="s">
        <v>42</v>
      </c>
      <c r="D49" s="18" t="s">
        <v>43</v>
      </c>
      <c r="E49" s="93" t="s">
        <v>245</v>
      </c>
      <c r="F49" s="45">
        <f t="shared" si="21"/>
        <v>1.5</v>
      </c>
      <c r="G49" s="28">
        <f t="shared" si="22"/>
        <v>1125</v>
      </c>
      <c r="H49" s="40">
        <v>1.5</v>
      </c>
      <c r="I49" s="40"/>
      <c r="J49" s="40"/>
      <c r="K49" s="40"/>
      <c r="L49" s="40"/>
      <c r="M49" s="40"/>
      <c r="N49" s="40"/>
      <c r="O49" s="159">
        <f>H49*(IF(PROFIL!$J$15&lt;&gt;"",PROFIL!$D$6*(1-PROFIL!$J$15),PROFIL!$D$6))</f>
        <v>1125</v>
      </c>
      <c r="P49" s="159">
        <f>I49*(IF(PROFIL!$J$15&lt;&gt;"",PROFIL!$D$7*(1-PROFIL!$J$15),PROFIL!$D$7))</f>
        <v>0</v>
      </c>
      <c r="Q49" s="159">
        <f>J49*(IF(PROFIL!$J$15&lt;&gt;"",PROFIL!$D$8*(1-PROFIL!$J$15),PROFIL!$D$8))</f>
        <v>0</v>
      </c>
      <c r="R49" s="159">
        <f>K49*(IF(PROFIL!$J$15&lt;&gt;"",PROFIL!$D$9*(1-PROFIL!$J$15),PROFIL!$D$9))</f>
        <v>0</v>
      </c>
      <c r="S49" s="159">
        <f>L49*(IF(PROFIL!$J$15&lt;&gt;"",PROFIL!$D$10*(1-PROFIL!$J$15),PROFIL!$D$10))</f>
        <v>0</v>
      </c>
      <c r="T49" s="159">
        <f>M49*(IF(PROFIL!$J$15&lt;&gt;"",PROFIL!$D$11*(1-PROFIL!$J$15),PROFIL!$D$11))</f>
        <v>0</v>
      </c>
      <c r="U49" s="159">
        <f>N49*(IF(PROFIL!$J$15&lt;&gt;"",PROFIL!$D$12*(1-PROFIL!$J$15),PROFIL!$D$12))</f>
        <v>0</v>
      </c>
      <c r="V49" s="19" t="s">
        <v>184</v>
      </c>
      <c r="W49" s="39"/>
    </row>
    <row r="50" spans="1:23" ht="14.1">
      <c r="A50" s="16" t="s">
        <v>226</v>
      </c>
      <c r="B50" s="17" t="s">
        <v>227</v>
      </c>
      <c r="C50" s="18" t="s">
        <v>30</v>
      </c>
      <c r="D50" s="18" t="s">
        <v>37</v>
      </c>
      <c r="E50" s="93" t="s">
        <v>246</v>
      </c>
      <c r="F50" s="45">
        <f t="shared" si="21"/>
        <v>6</v>
      </c>
      <c r="G50" s="28">
        <f t="shared" si="22"/>
        <v>4750</v>
      </c>
      <c r="H50" s="40">
        <v>0.5</v>
      </c>
      <c r="I50" s="40"/>
      <c r="J50" s="40">
        <v>0.5</v>
      </c>
      <c r="K50" s="40"/>
      <c r="L50" s="40">
        <v>5</v>
      </c>
      <c r="M50" s="40"/>
      <c r="N50" s="40"/>
      <c r="O50" s="159">
        <f>H50*(IF(PROFIL!$J$15&lt;&gt;"",PROFIL!$D$6*(1-PROFIL!$J$15),PROFIL!$D$6))</f>
        <v>375</v>
      </c>
      <c r="P50" s="159">
        <f>I50*(IF(PROFIL!$J$15&lt;&gt;"",PROFIL!$D$7*(1-PROFIL!$J$15),PROFIL!$D$7))</f>
        <v>0</v>
      </c>
      <c r="Q50" s="159">
        <f>J50*(IF(PROFIL!$J$15&lt;&gt;"",PROFIL!$D$8*(1-PROFIL!$J$15),PROFIL!$D$8))</f>
        <v>375</v>
      </c>
      <c r="R50" s="159">
        <f>K50*(IF(PROFIL!$J$15&lt;&gt;"",PROFIL!$D$9*(1-PROFIL!$J$15),PROFIL!$D$9))</f>
        <v>0</v>
      </c>
      <c r="S50" s="159">
        <f>L50*(IF(PROFIL!$J$15&lt;&gt;"",PROFIL!$D$10*(1-PROFIL!$J$15),PROFIL!$D$10))</f>
        <v>4000</v>
      </c>
      <c r="T50" s="159">
        <f>M50*(IF(PROFIL!$J$15&lt;&gt;"",PROFIL!$D$11*(1-PROFIL!$J$15),PROFIL!$D$11))</f>
        <v>0</v>
      </c>
      <c r="U50" s="159">
        <f>N50*(IF(PROFIL!$J$15&lt;&gt;"",PROFIL!$D$12*(1-PROFIL!$J$15),PROFIL!$D$12))</f>
        <v>0</v>
      </c>
      <c r="V50" s="19" t="s">
        <v>181</v>
      </c>
      <c r="W50" s="39" t="s">
        <v>247</v>
      </c>
    </row>
    <row r="51" spans="1:23" ht="14.1">
      <c r="A51" s="16"/>
      <c r="B51" s="17"/>
      <c r="C51" s="18"/>
      <c r="D51" s="18"/>
      <c r="E51" s="93"/>
      <c r="F51" s="45" t="str">
        <f t="shared" si="21"/>
        <v>-</v>
      </c>
      <c r="G51" s="178" t="str">
        <f t="shared" si="22"/>
        <v>-</v>
      </c>
      <c r="H51" s="40"/>
      <c r="I51" s="40"/>
      <c r="J51" s="40"/>
      <c r="K51" s="40"/>
      <c r="L51" s="40"/>
      <c r="M51" s="40"/>
      <c r="N51" s="40"/>
      <c r="O51" s="159">
        <f>H51*(IF(PROFIL!$J$15&lt;&gt;"",PROFIL!$D$6*(1-PROFIL!$J$15),PROFIL!$D$6))</f>
        <v>0</v>
      </c>
      <c r="P51" s="159">
        <f>I51*(IF(PROFIL!$J$15&lt;&gt;"",PROFIL!$D$7*(1-PROFIL!$J$15),PROFIL!$D$7))</f>
        <v>0</v>
      </c>
      <c r="Q51" s="159">
        <f>J51*(IF(PROFIL!$J$15&lt;&gt;"",PROFIL!$D$8*(1-PROFIL!$J$15),PROFIL!$D$8))</f>
        <v>0</v>
      </c>
      <c r="R51" s="159">
        <f>K51*(IF(PROFIL!$J$15&lt;&gt;"",PROFIL!$D$9*(1-PROFIL!$J$15),PROFIL!$D$9))</f>
        <v>0</v>
      </c>
      <c r="S51" s="159">
        <f>L51*(IF(PROFIL!$J$15&lt;&gt;"",PROFIL!$D$10*(1-PROFIL!$J$15),PROFIL!$D$10))</f>
        <v>0</v>
      </c>
      <c r="T51" s="159">
        <f>M51*(IF(PROFIL!$J$15&lt;&gt;"",PROFIL!$D$11*(1-PROFIL!$J$15),PROFIL!$D$11))</f>
        <v>0</v>
      </c>
      <c r="U51" s="159">
        <f>N51*(IF(PROFIL!$J$15&lt;&gt;"",PROFIL!$D$12*(1-PROFIL!$J$15),PROFIL!$D$12))</f>
        <v>0</v>
      </c>
      <c r="V51" s="19"/>
      <c r="W51" s="39"/>
    </row>
    <row r="52" spans="1:23" ht="14.1">
      <c r="A52" s="16"/>
      <c r="B52" s="17"/>
      <c r="C52" s="18"/>
      <c r="D52" s="18"/>
      <c r="E52" s="93"/>
      <c r="F52" s="45" t="str">
        <f t="shared" si="21"/>
        <v>-</v>
      </c>
      <c r="G52" s="28" t="str">
        <f t="shared" si="22"/>
        <v>-</v>
      </c>
      <c r="H52" s="40"/>
      <c r="I52" s="40"/>
      <c r="J52" s="40"/>
      <c r="K52" s="40"/>
      <c r="L52" s="40"/>
      <c r="M52" s="40"/>
      <c r="N52" s="40"/>
      <c r="O52" s="159">
        <f>H52*(IF(PROFIL!$J$15&lt;&gt;"",PROFIL!$D$6*(1-PROFIL!$J$15),PROFIL!$D$6))</f>
        <v>0</v>
      </c>
      <c r="P52" s="159">
        <f>I52*(IF(PROFIL!$J$15&lt;&gt;"",PROFIL!$D$7*(1-PROFIL!$J$15),PROFIL!$D$7))</f>
        <v>0</v>
      </c>
      <c r="Q52" s="159">
        <f>J52*(IF(PROFIL!$J$15&lt;&gt;"",PROFIL!$D$8*(1-PROFIL!$J$15),PROFIL!$D$8))</f>
        <v>0</v>
      </c>
      <c r="R52" s="159">
        <f>K52*(IF(PROFIL!$J$15&lt;&gt;"",PROFIL!$D$9*(1-PROFIL!$J$15),PROFIL!$D$9))</f>
        <v>0</v>
      </c>
      <c r="S52" s="159">
        <f>L52*(IF(PROFIL!$J$15&lt;&gt;"",PROFIL!$D$10*(1-PROFIL!$J$15),PROFIL!$D$10))</f>
        <v>0</v>
      </c>
      <c r="T52" s="159">
        <f>M52*(IF(PROFIL!$J$15&lt;&gt;"",PROFIL!$D$11*(1-PROFIL!$J$15),PROFIL!$D$11))</f>
        <v>0</v>
      </c>
      <c r="U52" s="159">
        <f>N52*(IF(PROFIL!$J$15&lt;&gt;"",PROFIL!$D$12*(1-PROFIL!$J$15),PROFIL!$D$12))</f>
        <v>0</v>
      </c>
      <c r="V52" s="19"/>
      <c r="W52" s="39"/>
    </row>
    <row r="53" spans="1:23" ht="14.1">
      <c r="A53" s="16"/>
      <c r="B53" s="17"/>
      <c r="C53" s="18"/>
      <c r="D53" s="18"/>
      <c r="E53" s="93"/>
      <c r="F53" s="45" t="str">
        <f t="shared" si="19"/>
        <v>-</v>
      </c>
      <c r="G53" s="28" t="str">
        <f t="shared" si="20"/>
        <v>-</v>
      </c>
      <c r="H53" s="40"/>
      <c r="I53" s="40"/>
      <c r="J53" s="40"/>
      <c r="K53" s="40"/>
      <c r="L53" s="40"/>
      <c r="M53" s="40"/>
      <c r="N53" s="40"/>
      <c r="O53" s="159">
        <f>H53*(IF(PROFIL!$J$15&lt;&gt;"",PROFIL!$D$6*(1-PROFIL!$J$15),PROFIL!$D$6))</f>
        <v>0</v>
      </c>
      <c r="P53" s="159">
        <f>I53*(IF(PROFIL!$J$15&lt;&gt;"",PROFIL!$D$7*(1-PROFIL!$J$15),PROFIL!$D$7))</f>
        <v>0</v>
      </c>
      <c r="Q53" s="159">
        <f>J53*(IF(PROFIL!$J$15&lt;&gt;"",PROFIL!$D$8*(1-PROFIL!$J$15),PROFIL!$D$8))</f>
        <v>0</v>
      </c>
      <c r="R53" s="159">
        <f>K53*(IF(PROFIL!$J$15&lt;&gt;"",PROFIL!$D$9*(1-PROFIL!$J$15),PROFIL!$D$9))</f>
        <v>0</v>
      </c>
      <c r="S53" s="159">
        <f>L53*(IF(PROFIL!$J$15&lt;&gt;"",PROFIL!$D$10*(1-PROFIL!$J$15),PROFIL!$D$10))</f>
        <v>0</v>
      </c>
      <c r="T53" s="159">
        <f>M53*(IF(PROFIL!$J$15&lt;&gt;"",PROFIL!$D$11*(1-PROFIL!$J$15),PROFIL!$D$11))</f>
        <v>0</v>
      </c>
      <c r="U53" s="159">
        <f>N53*(IF(PROFIL!$J$15&lt;&gt;"",PROFIL!$D$12*(1-PROFIL!$J$15),PROFIL!$D$12))</f>
        <v>0</v>
      </c>
      <c r="V53" s="19"/>
      <c r="W53" s="39"/>
    </row>
    <row r="54" spans="1:23" ht="14.1">
      <c r="A54" s="16"/>
      <c r="B54" s="17"/>
      <c r="C54" s="18"/>
      <c r="D54" s="18"/>
      <c r="E54" s="93"/>
      <c r="F54" s="45" t="str">
        <f t="shared" si="19"/>
        <v>-</v>
      </c>
      <c r="G54" s="28" t="str">
        <f t="shared" si="20"/>
        <v>-</v>
      </c>
      <c r="H54" s="40"/>
      <c r="I54" s="40"/>
      <c r="J54" s="40"/>
      <c r="K54" s="40"/>
      <c r="L54" s="40"/>
      <c r="M54" s="40"/>
      <c r="N54" s="40"/>
      <c r="O54" s="159"/>
      <c r="P54" s="159"/>
      <c r="Q54" s="159"/>
      <c r="R54" s="159"/>
      <c r="S54" s="159"/>
      <c r="T54" s="159"/>
      <c r="U54" s="159"/>
      <c r="V54" s="19"/>
      <c r="W54" s="39"/>
    </row>
    <row r="55" spans="1:23" ht="14.1">
      <c r="A55" s="16"/>
      <c r="B55" s="17"/>
      <c r="C55" s="18"/>
      <c r="D55" s="18"/>
      <c r="E55" s="93"/>
      <c r="F55" s="45" t="str">
        <f t="shared" si="19"/>
        <v>-</v>
      </c>
      <c r="G55" s="28" t="str">
        <f t="shared" si="20"/>
        <v>-</v>
      </c>
      <c r="H55" s="40"/>
      <c r="I55" s="40"/>
      <c r="J55" s="40"/>
      <c r="K55" s="40"/>
      <c r="L55" s="40"/>
      <c r="M55" s="40"/>
      <c r="N55" s="40"/>
      <c r="O55" s="159">
        <f>H55*(IF(PROFIL!$J$15&lt;&gt;"",PROFIL!$D$6*(1-PROFIL!$J$15),PROFIL!$D$6))</f>
        <v>0</v>
      </c>
      <c r="P55" s="159">
        <f>I55*(IF(PROFIL!$J$15&lt;&gt;"",PROFIL!$D$7*(1-PROFIL!$J$15),PROFIL!$D$7))</f>
        <v>0</v>
      </c>
      <c r="Q55" s="159">
        <f>J55*(IF(PROFIL!$J$15&lt;&gt;"",PROFIL!$D$8*(1-PROFIL!$J$15),PROFIL!$D$8))</f>
        <v>0</v>
      </c>
      <c r="R55" s="159">
        <f>K55*(IF(PROFIL!$J$15&lt;&gt;"",PROFIL!$D$9*(1-PROFIL!$J$15),PROFIL!$D$9))</f>
        <v>0</v>
      </c>
      <c r="S55" s="159">
        <f>L55*(IF(PROFIL!$J$15&lt;&gt;"",PROFIL!$D$10*(1-PROFIL!$J$15),PROFIL!$D$10))</f>
        <v>0</v>
      </c>
      <c r="T55" s="159">
        <f>M55*(IF(PROFIL!$J$15&lt;&gt;"",PROFIL!$D$11*(1-PROFIL!$J$15),PROFIL!$D$11))</f>
        <v>0</v>
      </c>
      <c r="U55" s="159">
        <f>N55*(IF(PROFIL!$J$15&lt;&gt;"",PROFIL!$D$12*(1-PROFIL!$J$15),PROFIL!$D$12))</f>
        <v>0</v>
      </c>
      <c r="V55" s="19"/>
      <c r="W55" s="39"/>
    </row>
    <row r="56" spans="1:23" ht="14.1">
      <c r="A56" s="16"/>
      <c r="B56" s="17"/>
      <c r="C56" s="18"/>
      <c r="D56" s="18"/>
      <c r="E56" s="93"/>
      <c r="F56" s="45" t="str">
        <f t="shared" si="19"/>
        <v>-</v>
      </c>
      <c r="G56" s="28" t="str">
        <f t="shared" si="20"/>
        <v>-</v>
      </c>
      <c r="H56" s="40"/>
      <c r="I56" s="40"/>
      <c r="J56" s="40"/>
      <c r="K56" s="40"/>
      <c r="L56" s="40"/>
      <c r="M56" s="40"/>
      <c r="N56" s="40"/>
      <c r="O56" s="159">
        <f>H56*(IF(PROFIL!$J$15&lt;&gt;"",PROFIL!$D$6*(1-PROFIL!$J$15),PROFIL!$D$6))</f>
        <v>0</v>
      </c>
      <c r="P56" s="159">
        <f>I56*(IF(PROFIL!$J$15&lt;&gt;"",PROFIL!$D$7*(1-PROFIL!$J$15),PROFIL!$D$7))</f>
        <v>0</v>
      </c>
      <c r="Q56" s="159">
        <f>J56*(IF(PROFIL!$J$15&lt;&gt;"",PROFIL!$D$8*(1-PROFIL!$J$15),PROFIL!$D$8))</f>
        <v>0</v>
      </c>
      <c r="R56" s="159">
        <f>K56*(IF(PROFIL!$J$15&lt;&gt;"",PROFIL!$D$9*(1-PROFIL!$J$15),PROFIL!$D$9))</f>
        <v>0</v>
      </c>
      <c r="S56" s="159">
        <f>L56*(IF(PROFIL!$J$15&lt;&gt;"",PROFIL!$D$10*(1-PROFIL!$J$15),PROFIL!$D$10))</f>
        <v>0</v>
      </c>
      <c r="T56" s="159">
        <f>M56*(IF(PROFIL!$J$15&lt;&gt;"",PROFIL!$D$11*(1-PROFIL!$J$15),PROFIL!$D$11))</f>
        <v>0</v>
      </c>
      <c r="U56" s="159">
        <f>N56*(IF(PROFIL!$J$15&lt;&gt;"",PROFIL!$D$12*(1-PROFIL!$J$15),PROFIL!$D$12))</f>
        <v>0</v>
      </c>
      <c r="V56" s="19"/>
      <c r="W56" s="39"/>
    </row>
    <row r="57" spans="1:23" ht="14.1">
      <c r="A57" s="16"/>
      <c r="B57" s="17"/>
      <c r="C57" s="18"/>
      <c r="D57" s="18"/>
      <c r="E57" s="93"/>
      <c r="F57" s="45" t="str">
        <f t="shared" si="19"/>
        <v>-</v>
      </c>
      <c r="G57" s="28" t="str">
        <f t="shared" si="20"/>
        <v>-</v>
      </c>
      <c r="H57" s="40"/>
      <c r="I57" s="40"/>
      <c r="J57" s="40"/>
      <c r="K57" s="40"/>
      <c r="L57" s="40"/>
      <c r="M57" s="40"/>
      <c r="N57" s="40"/>
      <c r="O57" s="159">
        <f>H57*(IF(PROFIL!$J$15&lt;&gt;"",PROFIL!$D$6*(1-PROFIL!$J$15),PROFIL!$D$6))</f>
        <v>0</v>
      </c>
      <c r="P57" s="159">
        <f>I57*(IF(PROFIL!$J$15&lt;&gt;"",PROFIL!$D$7*(1-PROFIL!$J$15),PROFIL!$D$7))</f>
        <v>0</v>
      </c>
      <c r="Q57" s="159">
        <f>J57*(IF(PROFIL!$J$15&lt;&gt;"",PROFIL!$D$8*(1-PROFIL!$J$15),PROFIL!$D$8))</f>
        <v>0</v>
      </c>
      <c r="R57" s="159">
        <f>K57*(IF(PROFIL!$J$15&lt;&gt;"",PROFIL!$D$9*(1-PROFIL!$J$15),PROFIL!$D$9))</f>
        <v>0</v>
      </c>
      <c r="S57" s="159">
        <f>L57*(IF(PROFIL!$J$15&lt;&gt;"",PROFIL!$D$10*(1-PROFIL!$J$15),PROFIL!$D$10))</f>
        <v>0</v>
      </c>
      <c r="T57" s="159">
        <f>M57*(IF(PROFIL!$J$15&lt;&gt;"",PROFIL!$D$11*(1-PROFIL!$J$15),PROFIL!$D$11))</f>
        <v>0</v>
      </c>
      <c r="U57" s="159">
        <f>N57*(IF(PROFIL!$J$15&lt;&gt;"",PROFIL!$D$12*(1-PROFIL!$J$15),PROFIL!$D$12))</f>
        <v>0</v>
      </c>
      <c r="V57" s="19"/>
      <c r="W57" s="39"/>
    </row>
    <row r="58" spans="1:23" ht="14.1">
      <c r="A58" s="16"/>
      <c r="B58" s="17"/>
      <c r="C58" s="18"/>
      <c r="D58" s="18"/>
      <c r="E58" s="93"/>
      <c r="F58" s="45" t="str">
        <f t="shared" si="19"/>
        <v>-</v>
      </c>
      <c r="G58" s="28" t="str">
        <f t="shared" si="20"/>
        <v>-</v>
      </c>
      <c r="H58" s="40"/>
      <c r="I58" s="40"/>
      <c r="J58" s="40"/>
      <c r="K58" s="40"/>
      <c r="L58" s="40"/>
      <c r="M58" s="40"/>
      <c r="N58" s="40"/>
      <c r="O58" s="159">
        <f>H58*(IF(PROFIL!$J$15&lt;&gt;"",PROFIL!$D$6*(1-PROFIL!$J$15),PROFIL!$D$6))</f>
        <v>0</v>
      </c>
      <c r="P58" s="159">
        <f>I58*(IF(PROFIL!$J$15&lt;&gt;"",PROFIL!$D$7*(1-PROFIL!$J$15),PROFIL!$D$7))</f>
        <v>0</v>
      </c>
      <c r="Q58" s="159">
        <f>J58*(IF(PROFIL!$J$15&lt;&gt;"",PROFIL!$D$8*(1-PROFIL!$J$15),PROFIL!$D$8))</f>
        <v>0</v>
      </c>
      <c r="R58" s="159">
        <f>K58*(IF(PROFIL!$J$15&lt;&gt;"",PROFIL!$D$9*(1-PROFIL!$J$15),PROFIL!$D$9))</f>
        <v>0</v>
      </c>
      <c r="S58" s="159">
        <f>L58*(IF(PROFIL!$J$15&lt;&gt;"",PROFIL!$D$10*(1-PROFIL!$J$15),PROFIL!$D$10))</f>
        <v>0</v>
      </c>
      <c r="T58" s="159">
        <f>M58*(IF(PROFIL!$J$15&lt;&gt;"",PROFIL!$D$11*(1-PROFIL!$J$15),PROFIL!$D$11))</f>
        <v>0</v>
      </c>
      <c r="U58" s="159">
        <f>N58*(IF(PROFIL!$J$15&lt;&gt;"",PROFIL!$D$12*(1-PROFIL!$J$15),PROFIL!$D$12))</f>
        <v>0</v>
      </c>
      <c r="V58" s="19"/>
      <c r="W58" s="39"/>
    </row>
    <row r="59" spans="1:23" ht="14.1">
      <c r="A59" s="16"/>
      <c r="B59" s="17"/>
      <c r="C59" s="18"/>
      <c r="D59" s="18"/>
      <c r="E59" s="93"/>
      <c r="F59" s="45" t="str">
        <f t="shared" si="19"/>
        <v>-</v>
      </c>
      <c r="G59" s="28" t="str">
        <f t="shared" si="20"/>
        <v>-</v>
      </c>
      <c r="H59" s="40"/>
      <c r="I59" s="40"/>
      <c r="J59" s="40"/>
      <c r="K59" s="40"/>
      <c r="L59" s="40"/>
      <c r="M59" s="40"/>
      <c r="N59" s="40"/>
      <c r="O59" s="159">
        <f>H59*(IF(PROFIL!$J$15&lt;&gt;"",PROFIL!$D$6*(1-PROFIL!$J$15),PROFIL!$D$6))</f>
        <v>0</v>
      </c>
      <c r="P59" s="159">
        <f>I59*(IF(PROFIL!$J$15&lt;&gt;"",PROFIL!$D$7*(1-PROFIL!$J$15),PROFIL!$D$7))</f>
        <v>0</v>
      </c>
      <c r="Q59" s="159">
        <f>J59*(IF(PROFIL!$J$15&lt;&gt;"",PROFIL!$D$8*(1-PROFIL!$J$15),PROFIL!$D$8))</f>
        <v>0</v>
      </c>
      <c r="R59" s="159">
        <f>K59*(IF(PROFIL!$J$15&lt;&gt;"",PROFIL!$D$9*(1-PROFIL!$J$15),PROFIL!$D$9))</f>
        <v>0</v>
      </c>
      <c r="S59" s="159">
        <f>L59*(IF(PROFIL!$J$15&lt;&gt;"",PROFIL!$D$10*(1-PROFIL!$J$15),PROFIL!$D$10))</f>
        <v>0</v>
      </c>
      <c r="T59" s="159">
        <f>M59*(IF(PROFIL!$J$15&lt;&gt;"",PROFIL!$D$11*(1-PROFIL!$J$15),PROFIL!$D$11))</f>
        <v>0</v>
      </c>
      <c r="U59" s="159">
        <f>N59*(IF(PROFIL!$J$15&lt;&gt;"",PROFIL!$D$12*(1-PROFIL!$J$15),PROFIL!$D$12))</f>
        <v>0</v>
      </c>
      <c r="V59" s="19"/>
      <c r="W59" s="39"/>
    </row>
    <row r="60" spans="1:23" ht="14.1">
      <c r="A60" s="16" t="s">
        <v>248</v>
      </c>
      <c r="B60" s="17" t="s">
        <v>249</v>
      </c>
      <c r="C60" s="18" t="s">
        <v>39</v>
      </c>
      <c r="D60" s="18" t="s">
        <v>46</v>
      </c>
      <c r="E60" s="93" t="s">
        <v>250</v>
      </c>
      <c r="F60" s="45">
        <f t="shared" si="19"/>
        <v>1</v>
      </c>
      <c r="G60" s="28">
        <f t="shared" si="20"/>
        <v>800</v>
      </c>
      <c r="H60" s="40"/>
      <c r="I60" s="40">
        <v>0.5</v>
      </c>
      <c r="J60" s="40">
        <v>0.5</v>
      </c>
      <c r="K60" s="40"/>
      <c r="L60" s="40"/>
      <c r="M60" s="40"/>
      <c r="N60" s="40"/>
      <c r="O60" s="159">
        <f>H60*(IF(PROFIL!$J$15&lt;&gt;"",PROFIL!$D$6*(1-PROFIL!$J$15),PROFIL!$D$6))</f>
        <v>0</v>
      </c>
      <c r="P60" s="159">
        <f>I60*(IF(PROFIL!$J$15&lt;&gt;"",PROFIL!$D$7*(1-PROFIL!$J$15),PROFIL!$D$7))</f>
        <v>425</v>
      </c>
      <c r="Q60" s="159">
        <f>J60*(IF(PROFIL!$J$15&lt;&gt;"",PROFIL!$D$8*(1-PROFIL!$J$15),PROFIL!$D$8))</f>
        <v>375</v>
      </c>
      <c r="R60" s="159">
        <f>K60*(IF(PROFIL!$J$15&lt;&gt;"",PROFIL!$D$9*(1-PROFIL!$J$15),PROFIL!$D$9))</f>
        <v>0</v>
      </c>
      <c r="S60" s="159">
        <f>L60*(IF(PROFIL!$J$15&lt;&gt;"",PROFIL!$D$10*(1-PROFIL!$J$15),PROFIL!$D$10))</f>
        <v>0</v>
      </c>
      <c r="T60" s="159">
        <f>M60*(IF(PROFIL!$J$15&lt;&gt;"",PROFIL!$D$11*(1-PROFIL!$J$15),PROFIL!$D$11))</f>
        <v>0</v>
      </c>
      <c r="U60" s="159">
        <f>N60*(IF(PROFIL!$J$15&lt;&gt;"",PROFIL!$D$12*(1-PROFIL!$J$15),PROFIL!$D$12))</f>
        <v>0</v>
      </c>
      <c r="V60" s="19" t="s">
        <v>251</v>
      </c>
      <c r="W60" s="39"/>
    </row>
    <row r="61" spans="1:23" ht="14.1">
      <c r="A61" s="16" t="s">
        <v>248</v>
      </c>
      <c r="B61" s="17" t="s">
        <v>249</v>
      </c>
      <c r="C61" s="18" t="s">
        <v>39</v>
      </c>
      <c r="D61" s="18" t="s">
        <v>46</v>
      </c>
      <c r="E61" s="93" t="s">
        <v>252</v>
      </c>
      <c r="F61" s="45">
        <f t="shared" si="19"/>
        <v>1.5</v>
      </c>
      <c r="G61" s="28">
        <f t="shared" si="20"/>
        <v>1150</v>
      </c>
      <c r="H61" s="40"/>
      <c r="I61" s="40">
        <v>0.5</v>
      </c>
      <c r="J61" s="40">
        <v>0.5</v>
      </c>
      <c r="K61" s="40">
        <v>0.5</v>
      </c>
      <c r="L61" s="40"/>
      <c r="M61" s="40"/>
      <c r="N61" s="40"/>
      <c r="O61" s="159">
        <f>H61*(IF(PROFIL!$J$15&lt;&gt;"",PROFIL!$D$6*(1-PROFIL!$J$15),PROFIL!$D$6))</f>
        <v>0</v>
      </c>
      <c r="P61" s="159">
        <f>I61*(IF(PROFIL!$J$15&lt;&gt;"",PROFIL!$D$7*(1-PROFIL!$J$15),PROFIL!$D$7))</f>
        <v>425</v>
      </c>
      <c r="Q61" s="159">
        <f>J61*(IF(PROFIL!$J$15&lt;&gt;"",PROFIL!$D$8*(1-PROFIL!$J$15),PROFIL!$D$8))</f>
        <v>375</v>
      </c>
      <c r="R61" s="159">
        <f>K61*(IF(PROFIL!$J$15&lt;&gt;"",PROFIL!$D$9*(1-PROFIL!$J$15),PROFIL!$D$9))</f>
        <v>350</v>
      </c>
      <c r="S61" s="159">
        <f>L61*(IF(PROFIL!$J$15&lt;&gt;"",PROFIL!$D$10*(1-PROFIL!$J$15),PROFIL!$D$10))</f>
        <v>0</v>
      </c>
      <c r="T61" s="159">
        <f>M61*(IF(PROFIL!$J$15&lt;&gt;"",PROFIL!$D$11*(1-PROFIL!$J$15),PROFIL!$D$11))</f>
        <v>0</v>
      </c>
      <c r="U61" s="159">
        <f>N61*(IF(PROFIL!$J$15&lt;&gt;"",PROFIL!$D$12*(1-PROFIL!$J$15),PROFIL!$D$12))</f>
        <v>0</v>
      </c>
      <c r="V61" s="19" t="s">
        <v>251</v>
      </c>
      <c r="W61" s="39"/>
    </row>
    <row r="62" spans="1:23" ht="14.1">
      <c r="A62" s="16" t="s">
        <v>248</v>
      </c>
      <c r="B62" s="17" t="s">
        <v>249</v>
      </c>
      <c r="C62" s="18" t="s">
        <v>39</v>
      </c>
      <c r="D62" s="18" t="s">
        <v>46</v>
      </c>
      <c r="E62" s="93" t="s">
        <v>253</v>
      </c>
      <c r="F62" s="45">
        <f t="shared" si="19"/>
        <v>1</v>
      </c>
      <c r="G62" s="28">
        <f t="shared" si="20"/>
        <v>700</v>
      </c>
      <c r="H62" s="40"/>
      <c r="I62" s="40"/>
      <c r="J62" s="40"/>
      <c r="K62" s="40">
        <v>1</v>
      </c>
      <c r="L62" s="40"/>
      <c r="M62" s="40"/>
      <c r="N62" s="40"/>
      <c r="O62" s="159">
        <f>H62*(IF(PROFIL!$J$15&lt;&gt;"",PROFIL!$D$6*(1-PROFIL!$J$15),PROFIL!$D$6))</f>
        <v>0</v>
      </c>
      <c r="P62" s="159">
        <f>I62*(IF(PROFIL!$J$15&lt;&gt;"",PROFIL!$D$7*(1-PROFIL!$J$15),PROFIL!$D$7))</f>
        <v>0</v>
      </c>
      <c r="Q62" s="159">
        <f>J62*(IF(PROFIL!$J$15&lt;&gt;"",PROFIL!$D$8*(1-PROFIL!$J$15),PROFIL!$D$8))</f>
        <v>0</v>
      </c>
      <c r="R62" s="159">
        <f>K62*(IF(PROFIL!$J$15&lt;&gt;"",PROFIL!$D$9*(1-PROFIL!$J$15),PROFIL!$D$9))</f>
        <v>700</v>
      </c>
      <c r="S62" s="159">
        <f>L62*(IF(PROFIL!$J$15&lt;&gt;"",PROFIL!$D$10*(1-PROFIL!$J$15),PROFIL!$D$10))</f>
        <v>0</v>
      </c>
      <c r="T62" s="159">
        <f>M62*(IF(PROFIL!$J$15&lt;&gt;"",PROFIL!$D$11*(1-PROFIL!$J$15),PROFIL!$D$11))</f>
        <v>0</v>
      </c>
      <c r="U62" s="159">
        <f>N62*(IF(PROFIL!$J$15&lt;&gt;"",PROFIL!$D$12*(1-PROFIL!$J$15),PROFIL!$D$12))</f>
        <v>0</v>
      </c>
      <c r="V62" s="19" t="s">
        <v>251</v>
      </c>
      <c r="W62" s="39"/>
    </row>
    <row r="63" spans="1:23" ht="14.1">
      <c r="A63" s="16" t="s">
        <v>248</v>
      </c>
      <c r="B63" s="17" t="s">
        <v>249</v>
      </c>
      <c r="C63" s="18" t="s">
        <v>39</v>
      </c>
      <c r="D63" s="18" t="s">
        <v>46</v>
      </c>
      <c r="E63" s="93" t="s">
        <v>254</v>
      </c>
      <c r="F63" s="45">
        <f t="shared" si="19"/>
        <v>0.5</v>
      </c>
      <c r="G63" s="28">
        <f t="shared" si="20"/>
        <v>375</v>
      </c>
      <c r="H63" s="40">
        <v>0.5</v>
      </c>
      <c r="I63" s="40"/>
      <c r="J63" s="40"/>
      <c r="K63" s="40"/>
      <c r="L63" s="40"/>
      <c r="M63" s="40"/>
      <c r="N63" s="40"/>
      <c r="O63" s="159">
        <f>H63*(IF(PROFIL!$J$15&lt;&gt;"",PROFIL!$D$6*(1-PROFIL!$J$15),PROFIL!$D$6))</f>
        <v>375</v>
      </c>
      <c r="P63" s="159">
        <f>I63*(IF(PROFIL!$J$15&lt;&gt;"",PROFIL!$D$7*(1-PROFIL!$J$15),PROFIL!$D$7))</f>
        <v>0</v>
      </c>
      <c r="Q63" s="159">
        <f>J63*(IF(PROFIL!$J$15&lt;&gt;"",PROFIL!$D$8*(1-PROFIL!$J$15),PROFIL!$D$8))</f>
        <v>0</v>
      </c>
      <c r="R63" s="159">
        <f>K63*(IF(PROFIL!$J$15&lt;&gt;"",PROFIL!$D$9*(1-PROFIL!$J$15),PROFIL!$D$9))</f>
        <v>0</v>
      </c>
      <c r="S63" s="159">
        <f>L63*(IF(PROFIL!$J$15&lt;&gt;"",PROFIL!$D$10*(1-PROFIL!$J$15),PROFIL!$D$10))</f>
        <v>0</v>
      </c>
      <c r="T63" s="159">
        <f>M63*(IF(PROFIL!$J$15&lt;&gt;"",PROFIL!$D$11*(1-PROFIL!$J$15),PROFIL!$D$11))</f>
        <v>0</v>
      </c>
      <c r="U63" s="159">
        <f>N63*(IF(PROFIL!$J$15&lt;&gt;"",PROFIL!$D$12*(1-PROFIL!$J$15),PROFIL!$D$12))</f>
        <v>0</v>
      </c>
      <c r="V63" s="19" t="s">
        <v>251</v>
      </c>
      <c r="W63" s="39"/>
    </row>
    <row r="64" spans="1:23" ht="14.1">
      <c r="A64" s="16"/>
      <c r="B64" s="17"/>
      <c r="C64" s="18"/>
      <c r="D64" s="18"/>
      <c r="E64" s="93"/>
      <c r="F64" s="45" t="str">
        <f t="shared" si="19"/>
        <v>-</v>
      </c>
      <c r="G64" s="28" t="str">
        <f t="shared" si="20"/>
        <v>-</v>
      </c>
      <c r="H64" s="40"/>
      <c r="I64" s="40"/>
      <c r="J64" s="40"/>
      <c r="K64" s="40"/>
      <c r="L64" s="40"/>
      <c r="M64" s="40"/>
      <c r="N64" s="40"/>
      <c r="O64" s="159">
        <f>H64*(IF(PROFIL!$J$15&lt;&gt;"",PROFIL!$D$6*(1-PROFIL!$J$15),PROFIL!$D$6))</f>
        <v>0</v>
      </c>
      <c r="P64" s="159">
        <f>I64*(IF(PROFIL!$J$15&lt;&gt;"",PROFIL!$D$7*(1-PROFIL!$J$15),PROFIL!$D$7))</f>
        <v>0</v>
      </c>
      <c r="Q64" s="159">
        <f>J64*(IF(PROFIL!$J$15&lt;&gt;"",PROFIL!$D$8*(1-PROFIL!$J$15),PROFIL!$D$8))</f>
        <v>0</v>
      </c>
      <c r="R64" s="159">
        <f>K64*(IF(PROFIL!$J$15&lt;&gt;"",PROFIL!$D$9*(1-PROFIL!$J$15),PROFIL!$D$9))</f>
        <v>0</v>
      </c>
      <c r="S64" s="159">
        <f>L64*(IF(PROFIL!$J$15&lt;&gt;"",PROFIL!$D$10*(1-PROFIL!$J$15),PROFIL!$D$10))</f>
        <v>0</v>
      </c>
      <c r="T64" s="159">
        <f>M64*(IF(PROFIL!$J$15&lt;&gt;"",PROFIL!$D$11*(1-PROFIL!$J$15),PROFIL!$D$11))</f>
        <v>0</v>
      </c>
      <c r="U64" s="159">
        <f>N64*(IF(PROFIL!$J$15&lt;&gt;"",PROFIL!$D$12*(1-PROFIL!$J$15),PROFIL!$D$12))</f>
        <v>0</v>
      </c>
      <c r="V64" s="19"/>
      <c r="W64" s="39"/>
    </row>
    <row r="65" spans="1:23" ht="14.1">
      <c r="A65" s="16"/>
      <c r="B65" s="17"/>
      <c r="C65" s="18"/>
      <c r="D65" s="18"/>
      <c r="E65" s="93"/>
      <c r="F65" s="45" t="str">
        <f t="shared" si="19"/>
        <v>-</v>
      </c>
      <c r="G65" s="28" t="str">
        <f t="shared" si="20"/>
        <v>-</v>
      </c>
      <c r="H65" s="40"/>
      <c r="I65" s="40"/>
      <c r="J65" s="40"/>
      <c r="K65" s="40"/>
      <c r="L65" s="40"/>
      <c r="M65" s="40"/>
      <c r="N65" s="40"/>
      <c r="O65" s="159">
        <f>H65*(IF(PROFIL!$J$15&lt;&gt;"",PROFIL!$D$6*(1-PROFIL!$J$15),PROFIL!$D$6))</f>
        <v>0</v>
      </c>
      <c r="P65" s="159">
        <f>I65*(IF(PROFIL!$J$15&lt;&gt;"",PROFIL!$D$7*(1-PROFIL!$J$15),PROFIL!$D$7))</f>
        <v>0</v>
      </c>
      <c r="Q65" s="159">
        <f>J65*(IF(PROFIL!$J$15&lt;&gt;"",PROFIL!$D$8*(1-PROFIL!$J$15),PROFIL!$D$8))</f>
        <v>0</v>
      </c>
      <c r="R65" s="159">
        <f>K65*(IF(PROFIL!$J$15&lt;&gt;"",PROFIL!$D$9*(1-PROFIL!$J$15),PROFIL!$D$9))</f>
        <v>0</v>
      </c>
      <c r="S65" s="159">
        <f>L65*(IF(PROFIL!$J$15&lt;&gt;"",PROFIL!$D$10*(1-PROFIL!$J$15),PROFIL!$D$10))</f>
        <v>0</v>
      </c>
      <c r="T65" s="159">
        <f>M65*(IF(PROFIL!$J$15&lt;&gt;"",PROFIL!$D$11*(1-PROFIL!$J$15),PROFIL!$D$11))</f>
        <v>0</v>
      </c>
      <c r="U65" s="159">
        <f>N65*(IF(PROFIL!$J$15&lt;&gt;"",PROFIL!$D$12*(1-PROFIL!$J$15),PROFIL!$D$12))</f>
        <v>0</v>
      </c>
      <c r="V65" s="19"/>
      <c r="W65" s="39"/>
    </row>
    <row r="66" spans="1:23" ht="14.1">
      <c r="A66" s="16"/>
      <c r="B66" s="17"/>
      <c r="C66" s="18"/>
      <c r="D66" s="18"/>
      <c r="E66" s="93"/>
      <c r="F66" s="45" t="str">
        <f t="shared" si="19"/>
        <v>-</v>
      </c>
      <c r="G66" s="28" t="str">
        <f t="shared" si="20"/>
        <v>-</v>
      </c>
      <c r="H66" s="40"/>
      <c r="I66" s="40"/>
      <c r="J66" s="40"/>
      <c r="K66" s="40"/>
      <c r="L66" s="40"/>
      <c r="M66" s="40"/>
      <c r="N66" s="40"/>
      <c r="O66" s="159">
        <f>H66*(IF(PROFIL!$J$15&lt;&gt;"",PROFIL!$D$6*(1-PROFIL!$J$15),PROFIL!$D$6))</f>
        <v>0</v>
      </c>
      <c r="P66" s="159">
        <f>I66*(IF(PROFIL!$J$15&lt;&gt;"",PROFIL!$D$7*(1-PROFIL!$J$15),PROFIL!$D$7))</f>
        <v>0</v>
      </c>
      <c r="Q66" s="159">
        <f>J66*(IF(PROFIL!$J$15&lt;&gt;"",PROFIL!$D$8*(1-PROFIL!$J$15),PROFIL!$D$8))</f>
        <v>0</v>
      </c>
      <c r="R66" s="159">
        <f>K66*(IF(PROFIL!$J$15&lt;&gt;"",PROFIL!$D$9*(1-PROFIL!$J$15),PROFIL!$D$9))</f>
        <v>0</v>
      </c>
      <c r="S66" s="159">
        <f>L66*(IF(PROFIL!$J$15&lt;&gt;"",PROFIL!$D$10*(1-PROFIL!$J$15),PROFIL!$D$10))</f>
        <v>0</v>
      </c>
      <c r="T66" s="159">
        <f>M66*(IF(PROFIL!$J$15&lt;&gt;"",PROFIL!$D$11*(1-PROFIL!$J$15),PROFIL!$D$11))</f>
        <v>0</v>
      </c>
      <c r="U66" s="159">
        <f>N66*(IF(PROFIL!$J$15&lt;&gt;"",PROFIL!$D$12*(1-PROFIL!$J$15),PROFIL!$D$12))</f>
        <v>0</v>
      </c>
      <c r="V66" s="19"/>
      <c r="W66" s="39"/>
    </row>
    <row r="67" spans="1:23" ht="14.1">
      <c r="A67" s="16"/>
      <c r="B67" s="17"/>
      <c r="C67" s="18"/>
      <c r="D67" s="18"/>
      <c r="E67" s="93"/>
      <c r="F67" s="45" t="str">
        <f t="shared" si="19"/>
        <v>-</v>
      </c>
      <c r="G67" s="28" t="str">
        <f t="shared" si="20"/>
        <v>-</v>
      </c>
      <c r="H67" s="40"/>
      <c r="I67" s="40"/>
      <c r="J67" s="40"/>
      <c r="K67" s="40"/>
      <c r="L67" s="40"/>
      <c r="M67" s="40"/>
      <c r="N67" s="40"/>
      <c r="O67" s="159">
        <f>H67*(IF(PROFIL!$J$15&lt;&gt;"",PROFIL!$D$6*(1-PROFIL!$J$15),PROFIL!$D$6))</f>
        <v>0</v>
      </c>
      <c r="P67" s="159">
        <f>I67*(IF(PROFIL!$J$15&lt;&gt;"",PROFIL!$D$7*(1-PROFIL!$J$15),PROFIL!$D$7))</f>
        <v>0</v>
      </c>
      <c r="Q67" s="159">
        <f>J67*(IF(PROFIL!$J$15&lt;&gt;"",PROFIL!$D$8*(1-PROFIL!$J$15),PROFIL!$D$8))</f>
        <v>0</v>
      </c>
      <c r="R67" s="159">
        <f>K67*(IF(PROFIL!$J$15&lt;&gt;"",PROFIL!$D$9*(1-PROFIL!$J$15),PROFIL!$D$9))</f>
        <v>0</v>
      </c>
      <c r="S67" s="159">
        <f>L67*(IF(PROFIL!$J$15&lt;&gt;"",PROFIL!$D$10*(1-PROFIL!$J$15),PROFIL!$D$10))</f>
        <v>0</v>
      </c>
      <c r="T67" s="159">
        <f>M67*(IF(PROFIL!$J$15&lt;&gt;"",PROFIL!$D$11*(1-PROFIL!$J$15),PROFIL!$D$11))</f>
        <v>0</v>
      </c>
      <c r="U67" s="159">
        <f>N67*(IF(PROFIL!$J$15&lt;&gt;"",PROFIL!$D$12*(1-PROFIL!$J$15),PROFIL!$D$12))</f>
        <v>0</v>
      </c>
      <c r="V67" s="19"/>
      <c r="W67" s="39"/>
    </row>
    <row r="68" spans="1:23" ht="14.1">
      <c r="A68" s="16"/>
      <c r="B68" s="17"/>
      <c r="C68" s="18"/>
      <c r="D68" s="18"/>
      <c r="E68" s="93"/>
      <c r="F68" s="45" t="str">
        <f t="shared" si="19"/>
        <v>-</v>
      </c>
      <c r="G68" s="28" t="str">
        <f t="shared" si="20"/>
        <v>-</v>
      </c>
      <c r="H68" s="40"/>
      <c r="I68" s="40"/>
      <c r="J68" s="40"/>
      <c r="K68" s="40"/>
      <c r="L68" s="40"/>
      <c r="M68" s="40"/>
      <c r="N68" s="40"/>
      <c r="O68" s="159">
        <f>H68*(IF(PROFIL!$J$15&lt;&gt;"",PROFIL!$D$6*(1-PROFIL!$J$15),PROFIL!$D$6))</f>
        <v>0</v>
      </c>
      <c r="P68" s="159">
        <f>I68*(IF(PROFIL!$J$15&lt;&gt;"",PROFIL!$D$7*(1-PROFIL!$J$15),PROFIL!$D$7))</f>
        <v>0</v>
      </c>
      <c r="Q68" s="159">
        <f>J68*(IF(PROFIL!$J$15&lt;&gt;"",PROFIL!$D$8*(1-PROFIL!$J$15),PROFIL!$D$8))</f>
        <v>0</v>
      </c>
      <c r="R68" s="159">
        <f>K68*(IF(PROFIL!$J$15&lt;&gt;"",PROFIL!$D$9*(1-PROFIL!$J$15),PROFIL!$D$9))</f>
        <v>0</v>
      </c>
      <c r="S68" s="159">
        <f>L68*(IF(PROFIL!$J$15&lt;&gt;"",PROFIL!$D$10*(1-PROFIL!$J$15),PROFIL!$D$10))</f>
        <v>0</v>
      </c>
      <c r="T68" s="159">
        <f>M68*(IF(PROFIL!$J$15&lt;&gt;"",PROFIL!$D$11*(1-PROFIL!$J$15),PROFIL!$D$11))</f>
        <v>0</v>
      </c>
      <c r="U68" s="159">
        <f>N68*(IF(PROFIL!$J$15&lt;&gt;"",PROFIL!$D$12*(1-PROFIL!$J$15),PROFIL!$D$12))</f>
        <v>0</v>
      </c>
      <c r="V68" s="19"/>
      <c r="W68" s="39"/>
    </row>
    <row r="69" spans="1:23" ht="14.1">
      <c r="A69" s="16"/>
      <c r="B69" s="17"/>
      <c r="C69" s="18"/>
      <c r="D69" s="18"/>
      <c r="E69" s="93"/>
      <c r="F69" s="45" t="str">
        <f t="shared" si="19"/>
        <v>-</v>
      </c>
      <c r="G69" s="28" t="str">
        <f t="shared" si="20"/>
        <v>-</v>
      </c>
      <c r="H69" s="40"/>
      <c r="I69" s="40"/>
      <c r="J69" s="40"/>
      <c r="K69" s="40"/>
      <c r="L69" s="40"/>
      <c r="M69" s="40"/>
      <c r="N69" s="40"/>
      <c r="O69" s="159">
        <f>H69*(IF(PROFIL!$J$15&lt;&gt;"",PROFIL!$D$6*(1-PROFIL!$J$15),PROFIL!$D$6))</f>
        <v>0</v>
      </c>
      <c r="P69" s="159">
        <f>I69*(IF(PROFIL!$J$15&lt;&gt;"",PROFIL!$D$7*(1-PROFIL!$J$15),PROFIL!$D$7))</f>
        <v>0</v>
      </c>
      <c r="Q69" s="159">
        <f>J69*(IF(PROFIL!$J$15&lt;&gt;"",PROFIL!$D$8*(1-PROFIL!$J$15),PROFIL!$D$8))</f>
        <v>0</v>
      </c>
      <c r="R69" s="159">
        <f>K69*(IF(PROFIL!$J$15&lt;&gt;"",PROFIL!$D$9*(1-PROFIL!$J$15),PROFIL!$D$9))</f>
        <v>0</v>
      </c>
      <c r="S69" s="159">
        <f>L69*(IF(PROFIL!$J$15&lt;&gt;"",PROFIL!$D$10*(1-PROFIL!$J$15),PROFIL!$D$10))</f>
        <v>0</v>
      </c>
      <c r="T69" s="159">
        <f>M69*(IF(PROFIL!$J$15&lt;&gt;"",PROFIL!$D$11*(1-PROFIL!$J$15),PROFIL!$D$11))</f>
        <v>0</v>
      </c>
      <c r="U69" s="159">
        <f>N69*(IF(PROFIL!$J$15&lt;&gt;"",PROFIL!$D$12*(1-PROFIL!$J$15),PROFIL!$D$12))</f>
        <v>0</v>
      </c>
      <c r="V69" s="19"/>
      <c r="W69" s="39"/>
    </row>
    <row r="70" spans="1:23" ht="14.1">
      <c r="A70" s="16"/>
      <c r="B70" s="17"/>
      <c r="C70" s="18"/>
      <c r="D70" s="18"/>
      <c r="E70" s="93"/>
      <c r="F70" s="45" t="str">
        <f t="shared" si="19"/>
        <v>-</v>
      </c>
      <c r="G70" s="28" t="str">
        <f t="shared" si="20"/>
        <v>-</v>
      </c>
      <c r="H70" s="40"/>
      <c r="I70" s="40"/>
      <c r="J70" s="40"/>
      <c r="K70" s="40"/>
      <c r="L70" s="40"/>
      <c r="M70" s="40"/>
      <c r="N70" s="40"/>
      <c r="O70" s="159">
        <f>H70*(IF(PROFIL!$J$15&lt;&gt;"",PROFIL!$D$6*(1-PROFIL!$J$15),PROFIL!$D$6))</f>
        <v>0</v>
      </c>
      <c r="P70" s="159">
        <f>I70*(IF(PROFIL!$J$15&lt;&gt;"",PROFIL!$D$7*(1-PROFIL!$J$15),PROFIL!$D$7))</f>
        <v>0</v>
      </c>
      <c r="Q70" s="159">
        <f>J70*(IF(PROFIL!$J$15&lt;&gt;"",PROFIL!$D$8*(1-PROFIL!$J$15),PROFIL!$D$8))</f>
        <v>0</v>
      </c>
      <c r="R70" s="159">
        <f>K70*(IF(PROFIL!$J$15&lt;&gt;"",PROFIL!$D$9*(1-PROFIL!$J$15),PROFIL!$D$9))</f>
        <v>0</v>
      </c>
      <c r="S70" s="159">
        <f>L70*(IF(PROFIL!$J$15&lt;&gt;"",PROFIL!$D$10*(1-PROFIL!$J$15),PROFIL!$D$10))</f>
        <v>0</v>
      </c>
      <c r="T70" s="159">
        <f>M70*(IF(PROFIL!$J$15&lt;&gt;"",PROFIL!$D$11*(1-PROFIL!$J$15),PROFIL!$D$11))</f>
        <v>0</v>
      </c>
      <c r="U70" s="159">
        <f>N70*(IF(PROFIL!$J$15&lt;&gt;"",PROFIL!$D$12*(1-PROFIL!$J$15),PROFIL!$D$12))</f>
        <v>0</v>
      </c>
      <c r="V70" s="19"/>
      <c r="W70" s="39"/>
    </row>
    <row r="71" spans="1:23" ht="14.1">
      <c r="A71" s="16"/>
      <c r="B71" s="17"/>
      <c r="C71" s="18"/>
      <c r="D71" s="18"/>
      <c r="E71" s="93"/>
      <c r="F71" s="45" t="str">
        <f t="shared" si="19"/>
        <v>-</v>
      </c>
      <c r="G71" s="28" t="str">
        <f t="shared" si="20"/>
        <v>-</v>
      </c>
      <c r="H71" s="40"/>
      <c r="I71" s="40"/>
      <c r="J71" s="40"/>
      <c r="K71" s="40"/>
      <c r="L71" s="40"/>
      <c r="M71" s="40"/>
      <c r="N71" s="40"/>
      <c r="O71" s="159">
        <f>H71*(IF(PROFIL!$J$15&lt;&gt;"",PROFIL!$D$6*(1-PROFIL!$J$15),PROFIL!$D$6))</f>
        <v>0</v>
      </c>
      <c r="P71" s="159">
        <f>I71*(IF(PROFIL!$J$15&lt;&gt;"",PROFIL!$D$7*(1-PROFIL!$J$15),PROFIL!$D$7))</f>
        <v>0</v>
      </c>
      <c r="Q71" s="159">
        <f>J71*(IF(PROFIL!$J$15&lt;&gt;"",PROFIL!$D$8*(1-PROFIL!$J$15),PROFIL!$D$8))</f>
        <v>0</v>
      </c>
      <c r="R71" s="159">
        <f>K71*(IF(PROFIL!$J$15&lt;&gt;"",PROFIL!$D$9*(1-PROFIL!$J$15),PROFIL!$D$9))</f>
        <v>0</v>
      </c>
      <c r="S71" s="159">
        <f>L71*(IF(PROFIL!$J$15&lt;&gt;"",PROFIL!$D$10*(1-PROFIL!$J$15),PROFIL!$D$10))</f>
        <v>0</v>
      </c>
      <c r="T71" s="159">
        <f>M71*(IF(PROFIL!$J$15&lt;&gt;"",PROFIL!$D$11*(1-PROFIL!$J$15),PROFIL!$D$11))</f>
        <v>0</v>
      </c>
      <c r="U71" s="159">
        <f>N71*(IF(PROFIL!$J$15&lt;&gt;"",PROFIL!$D$12*(1-PROFIL!$J$15),PROFIL!$D$12))</f>
        <v>0</v>
      </c>
      <c r="V71" s="19"/>
      <c r="W71" s="39"/>
    </row>
    <row r="72" spans="1:23" ht="14.1">
      <c r="A72" s="16"/>
      <c r="B72" s="17"/>
      <c r="C72" s="18"/>
      <c r="D72" s="18"/>
      <c r="E72" s="93"/>
      <c r="F72" s="45" t="str">
        <f t="shared" si="19"/>
        <v>-</v>
      </c>
      <c r="G72" s="28" t="str">
        <f t="shared" si="20"/>
        <v>-</v>
      </c>
      <c r="H72" s="40"/>
      <c r="I72" s="40"/>
      <c r="J72" s="40"/>
      <c r="K72" s="40"/>
      <c r="L72" s="40"/>
      <c r="M72" s="40"/>
      <c r="N72" s="40"/>
      <c r="O72" s="159">
        <f>H72*(IF(PROFIL!$J$15&lt;&gt;"",PROFIL!$D$6*(1-PROFIL!$J$15),PROFIL!$D$6))</f>
        <v>0</v>
      </c>
      <c r="P72" s="159">
        <f>I72*(IF(PROFIL!$J$15&lt;&gt;"",PROFIL!$D$7*(1-PROFIL!$J$15),PROFIL!$D$7))</f>
        <v>0</v>
      </c>
      <c r="Q72" s="159">
        <f>J72*(IF(PROFIL!$J$15&lt;&gt;"",PROFIL!$D$8*(1-PROFIL!$J$15),PROFIL!$D$8))</f>
        <v>0</v>
      </c>
      <c r="R72" s="159">
        <f>K72*(IF(PROFIL!$J$15&lt;&gt;"",PROFIL!$D$9*(1-PROFIL!$J$15),PROFIL!$D$9))</f>
        <v>0</v>
      </c>
      <c r="S72" s="159">
        <f>L72*(IF(PROFIL!$J$15&lt;&gt;"",PROFIL!$D$10*(1-PROFIL!$J$15),PROFIL!$D$10))</f>
        <v>0</v>
      </c>
      <c r="T72" s="159">
        <f>M72*(IF(PROFIL!$J$15&lt;&gt;"",PROFIL!$D$11*(1-PROFIL!$J$15),PROFIL!$D$11))</f>
        <v>0</v>
      </c>
      <c r="U72" s="159">
        <f>N72*(IF(PROFIL!$J$15&lt;&gt;"",PROFIL!$D$12*(1-PROFIL!$J$15),PROFIL!$D$12))</f>
        <v>0</v>
      </c>
      <c r="V72" s="19"/>
      <c r="W72" s="39"/>
    </row>
    <row r="73" spans="1:23" ht="14.1">
      <c r="A73" s="16"/>
      <c r="B73" s="17"/>
      <c r="C73" s="18"/>
      <c r="D73" s="18"/>
      <c r="E73" s="93"/>
      <c r="F73" s="45" t="str">
        <f t="shared" si="19"/>
        <v>-</v>
      </c>
      <c r="G73" s="28" t="str">
        <f t="shared" si="20"/>
        <v>-</v>
      </c>
      <c r="H73" s="40"/>
      <c r="I73" s="40"/>
      <c r="J73" s="40"/>
      <c r="K73" s="40"/>
      <c r="L73" s="40"/>
      <c r="M73" s="40"/>
      <c r="N73" s="40"/>
      <c r="O73" s="159">
        <f>H73*(IF(PROFIL!$J$15&lt;&gt;"",PROFIL!$D$6*(1-PROFIL!$J$15),PROFIL!$D$6))</f>
        <v>0</v>
      </c>
      <c r="P73" s="159">
        <f>I73*(IF(PROFIL!$J$15&lt;&gt;"",PROFIL!$D$7*(1-PROFIL!$J$15),PROFIL!$D$7))</f>
        <v>0</v>
      </c>
      <c r="Q73" s="159">
        <f>J73*(IF(PROFIL!$J$15&lt;&gt;"",PROFIL!$D$8*(1-PROFIL!$J$15),PROFIL!$D$8))</f>
        <v>0</v>
      </c>
      <c r="R73" s="159">
        <f>K73*(IF(PROFIL!$J$15&lt;&gt;"",PROFIL!$D$9*(1-PROFIL!$J$15),PROFIL!$D$9))</f>
        <v>0</v>
      </c>
      <c r="S73" s="159">
        <f>L73*(IF(PROFIL!$J$15&lt;&gt;"",PROFIL!$D$10*(1-PROFIL!$J$15),PROFIL!$D$10))</f>
        <v>0</v>
      </c>
      <c r="T73" s="159">
        <f>M73*(IF(PROFIL!$J$15&lt;&gt;"",PROFIL!$D$11*(1-PROFIL!$J$15),PROFIL!$D$11))</f>
        <v>0</v>
      </c>
      <c r="U73" s="159">
        <f>N73*(IF(PROFIL!$J$15&lt;&gt;"",PROFIL!$D$12*(1-PROFIL!$J$15),PROFIL!$D$12))</f>
        <v>0</v>
      </c>
      <c r="V73" s="19"/>
      <c r="W73" s="39"/>
    </row>
    <row r="74" spans="1:23" ht="14.1">
      <c r="A74" s="16"/>
      <c r="B74" s="17"/>
      <c r="C74" s="18"/>
      <c r="D74" s="18"/>
      <c r="E74" s="93"/>
      <c r="F74" s="45" t="str">
        <f t="shared" si="19"/>
        <v>-</v>
      </c>
      <c r="G74" s="28" t="str">
        <f t="shared" si="20"/>
        <v>-</v>
      </c>
      <c r="H74" s="40"/>
      <c r="I74" s="40"/>
      <c r="J74" s="40"/>
      <c r="K74" s="40"/>
      <c r="L74" s="40"/>
      <c r="M74" s="40"/>
      <c r="N74" s="40"/>
      <c r="O74" s="159">
        <f>H74*(IF(PROFIL!$J$15&lt;&gt;"",PROFIL!$D$6*(1-PROFIL!$J$15),PROFIL!$D$6))</f>
        <v>0</v>
      </c>
      <c r="P74" s="159">
        <f>I74*(IF(PROFIL!$J$15&lt;&gt;"",PROFIL!$D$7*(1-PROFIL!$J$15),PROFIL!$D$7))</f>
        <v>0</v>
      </c>
      <c r="Q74" s="159">
        <f>J74*(IF(PROFIL!$J$15&lt;&gt;"",PROFIL!$D$8*(1-PROFIL!$J$15),PROFIL!$D$8))</f>
        <v>0</v>
      </c>
      <c r="R74" s="159">
        <f>K74*(IF(PROFIL!$J$15&lt;&gt;"",PROFIL!$D$9*(1-PROFIL!$J$15),PROFIL!$D$9))</f>
        <v>0</v>
      </c>
      <c r="S74" s="159">
        <f>L74*(IF(PROFIL!$J$15&lt;&gt;"",PROFIL!$D$10*(1-PROFIL!$J$15),PROFIL!$D$10))</f>
        <v>0</v>
      </c>
      <c r="T74" s="159">
        <f>M74*(IF(PROFIL!$J$15&lt;&gt;"",PROFIL!$D$11*(1-PROFIL!$J$15),PROFIL!$D$11))</f>
        <v>0</v>
      </c>
      <c r="U74" s="159">
        <f>N74*(IF(PROFIL!$J$15&lt;&gt;"",PROFIL!$D$12*(1-PROFIL!$J$15),PROFIL!$D$12))</f>
        <v>0</v>
      </c>
      <c r="V74" s="19"/>
      <c r="W74" s="39"/>
    </row>
    <row r="75" spans="1:23" ht="14.1">
      <c r="A75" s="16"/>
      <c r="B75" s="17"/>
      <c r="C75" s="18"/>
      <c r="D75" s="18"/>
      <c r="E75" s="93"/>
      <c r="F75" s="45" t="str">
        <f t="shared" si="19"/>
        <v>-</v>
      </c>
      <c r="G75" s="28" t="str">
        <f t="shared" si="20"/>
        <v>-</v>
      </c>
      <c r="H75" s="40"/>
      <c r="I75" s="40"/>
      <c r="J75" s="40"/>
      <c r="K75" s="40"/>
      <c r="L75" s="40"/>
      <c r="M75" s="40"/>
      <c r="N75" s="40"/>
      <c r="O75" s="159">
        <f>H75*(IF(PROFIL!$J$15&lt;&gt;"",PROFIL!$D$6*(1-PROFIL!$J$15),PROFIL!$D$6))</f>
        <v>0</v>
      </c>
      <c r="P75" s="159">
        <f>I75*(IF(PROFIL!$J$15&lt;&gt;"",PROFIL!$D$7*(1-PROFIL!$J$15),PROFIL!$D$7))</f>
        <v>0</v>
      </c>
      <c r="Q75" s="159">
        <f>J75*(IF(PROFIL!$J$15&lt;&gt;"",PROFIL!$D$8*(1-PROFIL!$J$15),PROFIL!$D$8))</f>
        <v>0</v>
      </c>
      <c r="R75" s="159">
        <f>K75*(IF(PROFIL!$J$15&lt;&gt;"",PROFIL!$D$9*(1-PROFIL!$J$15),PROFIL!$D$9))</f>
        <v>0</v>
      </c>
      <c r="S75" s="159">
        <f>L75*(IF(PROFIL!$J$15&lt;&gt;"",PROFIL!$D$10*(1-PROFIL!$J$15),PROFIL!$D$10))</f>
        <v>0</v>
      </c>
      <c r="T75" s="159">
        <f>M75*(IF(PROFIL!$J$15&lt;&gt;"",PROFIL!$D$11*(1-PROFIL!$J$15),PROFIL!$D$11))</f>
        <v>0</v>
      </c>
      <c r="U75" s="159">
        <f>N75*(IF(PROFIL!$J$15&lt;&gt;"",PROFIL!$D$12*(1-PROFIL!$J$15),PROFIL!$D$12))</f>
        <v>0</v>
      </c>
      <c r="V75" s="19"/>
      <c r="W75" s="39"/>
    </row>
    <row r="76" spans="1:23" ht="14.1">
      <c r="A76" s="16"/>
      <c r="B76" s="17"/>
      <c r="C76" s="18"/>
      <c r="D76" s="18"/>
      <c r="E76" s="93"/>
      <c r="F76" s="45" t="str">
        <f t="shared" si="19"/>
        <v>-</v>
      </c>
      <c r="G76" s="28" t="str">
        <f t="shared" si="20"/>
        <v>-</v>
      </c>
      <c r="H76" s="40"/>
      <c r="I76" s="40"/>
      <c r="J76" s="40"/>
      <c r="K76" s="40"/>
      <c r="L76" s="40"/>
      <c r="M76" s="40"/>
      <c r="N76" s="40"/>
      <c r="O76" s="159">
        <f>H76*(IF(PROFIL!$J$15&lt;&gt;"",PROFIL!$D$6*(1-PROFIL!$J$15),PROFIL!$D$6))</f>
        <v>0</v>
      </c>
      <c r="P76" s="159">
        <f>I76*(IF(PROFIL!$J$15&lt;&gt;"",PROFIL!$D$7*(1-PROFIL!$J$15),PROFIL!$D$7))</f>
        <v>0</v>
      </c>
      <c r="Q76" s="159">
        <f>J76*(IF(PROFIL!$J$15&lt;&gt;"",PROFIL!$D$8*(1-PROFIL!$J$15),PROFIL!$D$8))</f>
        <v>0</v>
      </c>
      <c r="R76" s="159">
        <f>K76*(IF(PROFIL!$J$15&lt;&gt;"",PROFIL!$D$9*(1-PROFIL!$J$15),PROFIL!$D$9))</f>
        <v>0</v>
      </c>
      <c r="S76" s="159">
        <f>L76*(IF(PROFIL!$J$15&lt;&gt;"",PROFIL!$D$10*(1-PROFIL!$J$15),PROFIL!$D$10))</f>
        <v>0</v>
      </c>
      <c r="T76" s="159">
        <f>M76*(IF(PROFIL!$J$15&lt;&gt;"",PROFIL!$D$11*(1-PROFIL!$J$15),PROFIL!$D$11))</f>
        <v>0</v>
      </c>
      <c r="U76" s="159">
        <f>N76*(IF(PROFIL!$J$15&lt;&gt;"",PROFIL!$D$12*(1-PROFIL!$J$15),PROFIL!$D$12))</f>
        <v>0</v>
      </c>
      <c r="V76" s="19"/>
      <c r="W76" s="39"/>
    </row>
    <row r="77" spans="1:23" ht="14.1">
      <c r="A77" s="16"/>
      <c r="B77" s="17"/>
      <c r="C77" s="18"/>
      <c r="D77" s="18"/>
      <c r="E77" s="93"/>
      <c r="F77" s="45" t="str">
        <f t="shared" si="19"/>
        <v>-</v>
      </c>
      <c r="G77" s="28" t="str">
        <f t="shared" si="20"/>
        <v>-</v>
      </c>
      <c r="H77" s="40"/>
      <c r="I77" s="40"/>
      <c r="J77" s="40"/>
      <c r="K77" s="40"/>
      <c r="L77" s="40"/>
      <c r="M77" s="40"/>
      <c r="N77" s="40"/>
      <c r="O77" s="159">
        <f>H77*(IF(PROFIL!$J$15&lt;&gt;"",PROFIL!$D$6*(1-PROFIL!$J$15),PROFIL!$D$6))</f>
        <v>0</v>
      </c>
      <c r="P77" s="159">
        <f>I77*(IF(PROFIL!$J$15&lt;&gt;"",PROFIL!$D$7*(1-PROFIL!$J$15),PROFIL!$D$7))</f>
        <v>0</v>
      </c>
      <c r="Q77" s="159">
        <f>J77*(IF(PROFIL!$J$15&lt;&gt;"",PROFIL!$D$8*(1-PROFIL!$J$15),PROFIL!$D$8))</f>
        <v>0</v>
      </c>
      <c r="R77" s="159">
        <f>K77*(IF(PROFIL!$J$15&lt;&gt;"",PROFIL!$D$9*(1-PROFIL!$J$15),PROFIL!$D$9))</f>
        <v>0</v>
      </c>
      <c r="S77" s="159">
        <f>L77*(IF(PROFIL!$J$15&lt;&gt;"",PROFIL!$D$10*(1-PROFIL!$J$15),PROFIL!$D$10))</f>
        <v>0</v>
      </c>
      <c r="T77" s="159">
        <f>M77*(IF(PROFIL!$J$15&lt;&gt;"",PROFIL!$D$11*(1-PROFIL!$J$15),PROFIL!$D$11))</f>
        <v>0</v>
      </c>
      <c r="U77" s="159">
        <f>N77*(IF(PROFIL!$J$15&lt;&gt;"",PROFIL!$D$12*(1-PROFIL!$J$15),PROFIL!$D$12))</f>
        <v>0</v>
      </c>
      <c r="V77" s="19"/>
      <c r="W77" s="39"/>
    </row>
    <row r="78" spans="1:23" ht="14.1">
      <c r="A78" s="16"/>
      <c r="B78" s="17"/>
      <c r="C78" s="18"/>
      <c r="D78" s="18"/>
      <c r="E78" s="93"/>
      <c r="F78" s="45" t="str">
        <f t="shared" si="19"/>
        <v>-</v>
      </c>
      <c r="G78" s="28" t="str">
        <f t="shared" si="20"/>
        <v>-</v>
      </c>
      <c r="H78" s="40"/>
      <c r="I78" s="40"/>
      <c r="J78" s="40"/>
      <c r="K78" s="40"/>
      <c r="L78" s="40"/>
      <c r="M78" s="40"/>
      <c r="N78" s="40"/>
      <c r="O78" s="159">
        <f>H78*(IF(PROFIL!$J$15&lt;&gt;"",PROFIL!$D$6*(1-PROFIL!$J$15),PROFIL!$D$6))</f>
        <v>0</v>
      </c>
      <c r="P78" s="159">
        <f>I78*(IF(PROFIL!$J$15&lt;&gt;"",PROFIL!$D$7*(1-PROFIL!$J$15),PROFIL!$D$7))</f>
        <v>0</v>
      </c>
      <c r="Q78" s="159">
        <f>J78*(IF(PROFIL!$J$15&lt;&gt;"",PROFIL!$D$8*(1-PROFIL!$J$15),PROFIL!$D$8))</f>
        <v>0</v>
      </c>
      <c r="R78" s="159">
        <f>K78*(IF(PROFIL!$J$15&lt;&gt;"",PROFIL!$D$9*(1-PROFIL!$J$15),PROFIL!$D$9))</f>
        <v>0</v>
      </c>
      <c r="S78" s="159">
        <f>L78*(IF(PROFIL!$J$15&lt;&gt;"",PROFIL!$D$10*(1-PROFIL!$J$15),PROFIL!$D$10))</f>
        <v>0</v>
      </c>
      <c r="T78" s="159">
        <f>M78*(IF(PROFIL!$J$15&lt;&gt;"",PROFIL!$D$11*(1-PROFIL!$J$15),PROFIL!$D$11))</f>
        <v>0</v>
      </c>
      <c r="U78" s="159">
        <f>N78*(IF(PROFIL!$J$15&lt;&gt;"",PROFIL!$D$12*(1-PROFIL!$J$15),PROFIL!$D$12))</f>
        <v>0</v>
      </c>
      <c r="V78" s="19"/>
      <c r="W78" s="39"/>
    </row>
    <row r="79" spans="1:23" ht="14.1">
      <c r="A79" s="16"/>
      <c r="B79" s="17"/>
      <c r="C79" s="18"/>
      <c r="D79" s="18"/>
      <c r="E79" s="93"/>
      <c r="F79" s="45" t="str">
        <f t="shared" si="19"/>
        <v>-</v>
      </c>
      <c r="G79" s="28" t="str">
        <f t="shared" si="20"/>
        <v>-</v>
      </c>
      <c r="H79" s="40"/>
      <c r="I79" s="40"/>
      <c r="J79" s="40"/>
      <c r="K79" s="40"/>
      <c r="L79" s="40"/>
      <c r="M79" s="40"/>
      <c r="N79" s="40"/>
      <c r="O79" s="159">
        <f>H79*(IF(PROFIL!$J$15&lt;&gt;"",PROFIL!$D$6*(1-PROFIL!$J$15),PROFIL!$D$6))</f>
        <v>0</v>
      </c>
      <c r="P79" s="159">
        <f>I79*(IF(PROFIL!$J$15&lt;&gt;"",PROFIL!$D$7*(1-PROFIL!$J$15),PROFIL!$D$7))</f>
        <v>0</v>
      </c>
      <c r="Q79" s="159">
        <f>J79*(IF(PROFIL!$J$15&lt;&gt;"",PROFIL!$D$8*(1-PROFIL!$J$15),PROFIL!$D$8))</f>
        <v>0</v>
      </c>
      <c r="R79" s="159">
        <f>K79*(IF(PROFIL!$J$15&lt;&gt;"",PROFIL!$D$9*(1-PROFIL!$J$15),PROFIL!$D$9))</f>
        <v>0</v>
      </c>
      <c r="S79" s="159">
        <f>L79*(IF(PROFIL!$J$15&lt;&gt;"",PROFIL!$D$10*(1-PROFIL!$J$15),PROFIL!$D$10))</f>
        <v>0</v>
      </c>
      <c r="T79" s="159">
        <f>M79*(IF(PROFIL!$J$15&lt;&gt;"",PROFIL!$D$11*(1-PROFIL!$J$15),PROFIL!$D$11))</f>
        <v>0</v>
      </c>
      <c r="U79" s="159">
        <f>N79*(IF(PROFIL!$J$15&lt;&gt;"",PROFIL!$D$12*(1-PROFIL!$J$15),PROFIL!$D$12))</f>
        <v>0</v>
      </c>
      <c r="V79" s="19"/>
      <c r="W79" s="39"/>
    </row>
    <row r="80" spans="1:23" ht="14.1">
      <c r="A80" s="16"/>
      <c r="B80" s="17"/>
      <c r="C80" s="18"/>
      <c r="D80" s="18"/>
      <c r="E80" s="93"/>
      <c r="F80" s="45" t="str">
        <f t="shared" si="19"/>
        <v>-</v>
      </c>
      <c r="G80" s="28" t="str">
        <f t="shared" si="20"/>
        <v>-</v>
      </c>
      <c r="H80" s="40"/>
      <c r="I80" s="40"/>
      <c r="J80" s="40"/>
      <c r="K80" s="40"/>
      <c r="L80" s="40"/>
      <c r="M80" s="40"/>
      <c r="N80" s="40"/>
      <c r="O80" s="159">
        <f>H80*(IF(PROFIL!$J$15&lt;&gt;"",PROFIL!$D$6*(1-PROFIL!$J$15),PROFIL!$D$6))</f>
        <v>0</v>
      </c>
      <c r="P80" s="159">
        <f>I80*(IF(PROFIL!$J$15&lt;&gt;"",PROFIL!$D$7*(1-PROFIL!$J$15),PROFIL!$D$7))</f>
        <v>0</v>
      </c>
      <c r="Q80" s="159">
        <f>J80*(IF(PROFIL!$J$15&lt;&gt;"",PROFIL!$D$8*(1-PROFIL!$J$15),PROFIL!$D$8))</f>
        <v>0</v>
      </c>
      <c r="R80" s="159">
        <f>K80*(IF(PROFIL!$J$15&lt;&gt;"",PROFIL!$D$9*(1-PROFIL!$J$15),PROFIL!$D$9))</f>
        <v>0</v>
      </c>
      <c r="S80" s="159">
        <f>L80*(IF(PROFIL!$J$15&lt;&gt;"",PROFIL!$D$10*(1-PROFIL!$J$15),PROFIL!$D$10))</f>
        <v>0</v>
      </c>
      <c r="T80" s="159">
        <f>M80*(IF(PROFIL!$J$15&lt;&gt;"",PROFIL!$D$11*(1-PROFIL!$J$15),PROFIL!$D$11))</f>
        <v>0</v>
      </c>
      <c r="U80" s="159">
        <f>N80*(IF(PROFIL!$J$15&lt;&gt;"",PROFIL!$D$12*(1-PROFIL!$J$15),PROFIL!$D$12))</f>
        <v>0</v>
      </c>
      <c r="V80" s="19"/>
      <c r="W80" s="39"/>
    </row>
    <row r="81" spans="1:23" ht="14.1">
      <c r="A81" s="16"/>
      <c r="B81" s="17"/>
      <c r="C81" s="18"/>
      <c r="D81" s="18"/>
      <c r="E81" s="93"/>
      <c r="F81" s="45" t="str">
        <f t="shared" si="19"/>
        <v>-</v>
      </c>
      <c r="G81" s="28" t="str">
        <f t="shared" si="20"/>
        <v>-</v>
      </c>
      <c r="H81" s="40"/>
      <c r="I81" s="40"/>
      <c r="J81" s="40"/>
      <c r="K81" s="40"/>
      <c r="L81" s="40"/>
      <c r="M81" s="40"/>
      <c r="N81" s="40"/>
      <c r="O81" s="159">
        <f>H81*(IF(PROFIL!$J$15&lt;&gt;"",PROFIL!$D$6*(1-PROFIL!$J$15),PROFIL!$D$6))</f>
        <v>0</v>
      </c>
      <c r="P81" s="159">
        <f>I81*(IF(PROFIL!$J$15&lt;&gt;"",PROFIL!$D$7*(1-PROFIL!$J$15),PROFIL!$D$7))</f>
        <v>0</v>
      </c>
      <c r="Q81" s="159">
        <f>J81*(IF(PROFIL!$J$15&lt;&gt;"",PROFIL!$D$8*(1-PROFIL!$J$15),PROFIL!$D$8))</f>
        <v>0</v>
      </c>
      <c r="R81" s="159">
        <f>K81*(IF(PROFIL!$J$15&lt;&gt;"",PROFIL!$D$9*(1-PROFIL!$J$15),PROFIL!$D$9))</f>
        <v>0</v>
      </c>
      <c r="S81" s="159">
        <f>L81*(IF(PROFIL!$J$15&lt;&gt;"",PROFIL!$D$10*(1-PROFIL!$J$15),PROFIL!$D$10))</f>
        <v>0</v>
      </c>
      <c r="T81" s="159">
        <f>M81*(IF(PROFIL!$J$15&lt;&gt;"",PROFIL!$D$11*(1-PROFIL!$J$15),PROFIL!$D$11))</f>
        <v>0</v>
      </c>
      <c r="U81" s="159">
        <f>N81*(IF(PROFIL!$J$15&lt;&gt;"",PROFIL!$D$12*(1-PROFIL!$J$15),PROFIL!$D$12))</f>
        <v>0</v>
      </c>
      <c r="V81" s="19"/>
      <c r="W81" s="39"/>
    </row>
    <row r="82" spans="1:23" ht="14.1">
      <c r="A82" s="16"/>
      <c r="B82" s="17"/>
      <c r="C82" s="18"/>
      <c r="D82" s="18"/>
      <c r="E82" s="93"/>
      <c r="F82" s="45" t="str">
        <f t="shared" si="19"/>
        <v>-</v>
      </c>
      <c r="G82" s="28" t="str">
        <f t="shared" si="20"/>
        <v>-</v>
      </c>
      <c r="H82" s="40"/>
      <c r="I82" s="40"/>
      <c r="J82" s="40"/>
      <c r="K82" s="40"/>
      <c r="L82" s="40"/>
      <c r="M82" s="40"/>
      <c r="N82" s="40"/>
      <c r="O82" s="159">
        <f>H82*(IF(PROFIL!$J$15&lt;&gt;"",PROFIL!$D$6*(1-PROFIL!$J$15),PROFIL!$D$6))</f>
        <v>0</v>
      </c>
      <c r="P82" s="159">
        <f>I82*(IF(PROFIL!$J$15&lt;&gt;"",PROFIL!$D$7*(1-PROFIL!$J$15),PROFIL!$D$7))</f>
        <v>0</v>
      </c>
      <c r="Q82" s="159">
        <f>J82*(IF(PROFIL!$J$15&lt;&gt;"",PROFIL!$D$8*(1-PROFIL!$J$15),PROFIL!$D$8))</f>
        <v>0</v>
      </c>
      <c r="R82" s="159">
        <f>K82*(IF(PROFIL!$J$15&lt;&gt;"",PROFIL!$D$9*(1-PROFIL!$J$15),PROFIL!$D$9))</f>
        <v>0</v>
      </c>
      <c r="S82" s="159">
        <f>L82*(IF(PROFIL!$J$15&lt;&gt;"",PROFIL!$D$10*(1-PROFIL!$J$15),PROFIL!$D$10))</f>
        <v>0</v>
      </c>
      <c r="T82" s="159">
        <f>M82*(IF(PROFIL!$J$15&lt;&gt;"",PROFIL!$D$11*(1-PROFIL!$J$15),PROFIL!$D$11))</f>
        <v>0</v>
      </c>
      <c r="U82" s="159">
        <f>N82*(IF(PROFIL!$J$15&lt;&gt;"",PROFIL!$D$12*(1-PROFIL!$J$15),PROFIL!$D$12))</f>
        <v>0</v>
      </c>
      <c r="V82" s="19"/>
      <c r="W82" s="39"/>
    </row>
    <row r="83" spans="1:23" ht="14.1">
      <c r="A83" s="16"/>
      <c r="B83" s="17"/>
      <c r="C83" s="18"/>
      <c r="D83" s="18"/>
      <c r="E83" s="93"/>
      <c r="F83" s="45" t="str">
        <f t="shared" si="19"/>
        <v>-</v>
      </c>
      <c r="G83" s="28" t="str">
        <f t="shared" si="20"/>
        <v>-</v>
      </c>
      <c r="H83" s="40"/>
      <c r="I83" s="40"/>
      <c r="J83" s="40"/>
      <c r="K83" s="40"/>
      <c r="L83" s="40"/>
      <c r="M83" s="40"/>
      <c r="N83" s="40"/>
      <c r="O83" s="159">
        <f>H83*(IF(PROFIL!$J$15&lt;&gt;"",PROFIL!$D$6*(1-PROFIL!$J$15),PROFIL!$D$6))</f>
        <v>0</v>
      </c>
      <c r="P83" s="159">
        <f>I83*(IF(PROFIL!$J$15&lt;&gt;"",PROFIL!$D$7*(1-PROFIL!$J$15),PROFIL!$D$7))</f>
        <v>0</v>
      </c>
      <c r="Q83" s="159">
        <f>J83*(IF(PROFIL!$J$15&lt;&gt;"",PROFIL!$D$8*(1-PROFIL!$J$15),PROFIL!$D$8))</f>
        <v>0</v>
      </c>
      <c r="R83" s="159">
        <f>K83*(IF(PROFIL!$J$15&lt;&gt;"",PROFIL!$D$9*(1-PROFIL!$J$15),PROFIL!$D$9))</f>
        <v>0</v>
      </c>
      <c r="S83" s="159">
        <f>L83*(IF(PROFIL!$J$15&lt;&gt;"",PROFIL!$D$10*(1-PROFIL!$J$15),PROFIL!$D$10))</f>
        <v>0</v>
      </c>
      <c r="T83" s="159">
        <f>M83*(IF(PROFIL!$J$15&lt;&gt;"",PROFIL!$D$11*(1-PROFIL!$J$15),PROFIL!$D$11))</f>
        <v>0</v>
      </c>
      <c r="U83" s="159">
        <f>N83*(IF(PROFIL!$J$15&lt;&gt;"",PROFIL!$D$12*(1-PROFIL!$J$15),PROFIL!$D$12))</f>
        <v>0</v>
      </c>
      <c r="V83" s="19"/>
      <c r="W83" s="39"/>
    </row>
    <row r="84" spans="1:23" ht="14.1">
      <c r="A84" s="16"/>
      <c r="B84" s="17"/>
      <c r="C84" s="18"/>
      <c r="D84" s="18"/>
      <c r="E84" s="93"/>
      <c r="F84" s="45" t="str">
        <f t="shared" si="19"/>
        <v>-</v>
      </c>
      <c r="G84" s="28" t="str">
        <f t="shared" si="20"/>
        <v>-</v>
      </c>
      <c r="H84" s="40"/>
      <c r="I84" s="40"/>
      <c r="J84" s="40"/>
      <c r="K84" s="40"/>
      <c r="L84" s="40"/>
      <c r="M84" s="40"/>
      <c r="N84" s="40"/>
      <c r="O84" s="159">
        <f>H84*(IF(PROFIL!$J$15&lt;&gt;"",PROFIL!$D$6*(1-PROFIL!$J$15),PROFIL!$D$6))</f>
        <v>0</v>
      </c>
      <c r="P84" s="159">
        <f>I84*(IF(PROFIL!$J$15&lt;&gt;"",PROFIL!$D$7*(1-PROFIL!$J$15),PROFIL!$D$7))</f>
        <v>0</v>
      </c>
      <c r="Q84" s="159">
        <f>J84*(IF(PROFIL!$J$15&lt;&gt;"",PROFIL!$D$8*(1-PROFIL!$J$15),PROFIL!$D$8))</f>
        <v>0</v>
      </c>
      <c r="R84" s="159">
        <f>K84*(IF(PROFIL!$J$15&lt;&gt;"",PROFIL!$D$9*(1-PROFIL!$J$15),PROFIL!$D$9))</f>
        <v>0</v>
      </c>
      <c r="S84" s="159">
        <f>L84*(IF(PROFIL!$J$15&lt;&gt;"",PROFIL!$D$10*(1-PROFIL!$J$15),PROFIL!$D$10))</f>
        <v>0</v>
      </c>
      <c r="T84" s="159">
        <f>M84*(IF(PROFIL!$J$15&lt;&gt;"",PROFIL!$D$11*(1-PROFIL!$J$15),PROFIL!$D$11))</f>
        <v>0</v>
      </c>
      <c r="U84" s="159">
        <f>N84*(IF(PROFIL!$J$15&lt;&gt;"",PROFIL!$D$12*(1-PROFIL!$J$15),PROFIL!$D$12))</f>
        <v>0</v>
      </c>
      <c r="V84" s="19"/>
      <c r="W84" s="39"/>
    </row>
    <row r="85" spans="1:23" ht="14.1">
      <c r="A85" s="16"/>
      <c r="B85" s="17"/>
      <c r="C85" s="18"/>
      <c r="D85" s="18"/>
      <c r="E85" s="93"/>
      <c r="F85" s="45" t="str">
        <f t="shared" si="19"/>
        <v>-</v>
      </c>
      <c r="G85" s="28" t="str">
        <f t="shared" si="20"/>
        <v>-</v>
      </c>
      <c r="H85" s="40"/>
      <c r="I85" s="40"/>
      <c r="J85" s="40"/>
      <c r="K85" s="40"/>
      <c r="L85" s="40"/>
      <c r="M85" s="40"/>
      <c r="N85" s="40"/>
      <c r="O85" s="159">
        <f>H85*(IF(PROFIL!$J$15&lt;&gt;"",PROFIL!$D$6*(1-PROFIL!$J$15),PROFIL!$D$6))</f>
        <v>0</v>
      </c>
      <c r="P85" s="159">
        <f>I85*(IF(PROFIL!$J$15&lt;&gt;"",PROFIL!$D$7*(1-PROFIL!$J$15),PROFIL!$D$7))</f>
        <v>0</v>
      </c>
      <c r="Q85" s="159">
        <f>J85*(IF(PROFIL!$J$15&lt;&gt;"",PROFIL!$D$8*(1-PROFIL!$J$15),PROFIL!$D$8))</f>
        <v>0</v>
      </c>
      <c r="R85" s="159">
        <f>K85*(IF(PROFIL!$J$15&lt;&gt;"",PROFIL!$D$9*(1-PROFIL!$J$15),PROFIL!$D$9))</f>
        <v>0</v>
      </c>
      <c r="S85" s="159">
        <f>L85*(IF(PROFIL!$J$15&lt;&gt;"",PROFIL!$D$10*(1-PROFIL!$J$15),PROFIL!$D$10))</f>
        <v>0</v>
      </c>
      <c r="T85" s="159">
        <f>M85*(IF(PROFIL!$J$15&lt;&gt;"",PROFIL!$D$11*(1-PROFIL!$J$15),PROFIL!$D$11))</f>
        <v>0</v>
      </c>
      <c r="U85" s="159">
        <f>N85*(IF(PROFIL!$J$15&lt;&gt;"",PROFIL!$D$12*(1-PROFIL!$J$15),PROFIL!$D$12))</f>
        <v>0</v>
      </c>
      <c r="V85" s="19"/>
      <c r="W85" s="39"/>
    </row>
    <row r="86" spans="1:23" ht="14.1">
      <c r="A86" s="16"/>
      <c r="B86" s="17"/>
      <c r="C86" s="18"/>
      <c r="D86" s="18"/>
      <c r="E86" s="93"/>
      <c r="F86" s="45" t="str">
        <f t="shared" si="19"/>
        <v>-</v>
      </c>
      <c r="G86" s="28" t="str">
        <f t="shared" si="20"/>
        <v>-</v>
      </c>
      <c r="H86" s="40"/>
      <c r="I86" s="40"/>
      <c r="J86" s="40"/>
      <c r="K86" s="40"/>
      <c r="L86" s="40"/>
      <c r="M86" s="40"/>
      <c r="N86" s="40"/>
      <c r="O86" s="159">
        <f>H86*(IF(PROFIL!$J$15&lt;&gt;"",PROFIL!$D$6*(1-PROFIL!$J$15),PROFIL!$D$6))</f>
        <v>0</v>
      </c>
      <c r="P86" s="159">
        <f>I86*(IF(PROFIL!$J$15&lt;&gt;"",PROFIL!$D$7*(1-PROFIL!$J$15),PROFIL!$D$7))</f>
        <v>0</v>
      </c>
      <c r="Q86" s="159">
        <f>J86*(IF(PROFIL!$J$15&lt;&gt;"",PROFIL!$D$8*(1-PROFIL!$J$15),PROFIL!$D$8))</f>
        <v>0</v>
      </c>
      <c r="R86" s="159">
        <f>K86*(IF(PROFIL!$J$15&lt;&gt;"",PROFIL!$D$9*(1-PROFIL!$J$15),PROFIL!$D$9))</f>
        <v>0</v>
      </c>
      <c r="S86" s="159">
        <f>L86*(IF(PROFIL!$J$15&lt;&gt;"",PROFIL!$D$10*(1-PROFIL!$J$15),PROFIL!$D$10))</f>
        <v>0</v>
      </c>
      <c r="T86" s="159">
        <f>M86*(IF(PROFIL!$J$15&lt;&gt;"",PROFIL!$D$11*(1-PROFIL!$J$15),PROFIL!$D$11))</f>
        <v>0</v>
      </c>
      <c r="U86" s="159">
        <f>N86*(IF(PROFIL!$J$15&lt;&gt;"",PROFIL!$D$12*(1-PROFIL!$J$15),PROFIL!$D$12))</f>
        <v>0</v>
      </c>
      <c r="V86" s="19"/>
      <c r="W86" s="39"/>
    </row>
    <row r="87" spans="1:23" ht="14.1">
      <c r="A87" s="16"/>
      <c r="B87" s="17"/>
      <c r="C87" s="18"/>
      <c r="D87" s="18"/>
      <c r="E87" s="93"/>
      <c r="F87" s="45" t="str">
        <f t="shared" si="19"/>
        <v>-</v>
      </c>
      <c r="G87" s="28" t="str">
        <f t="shared" si="20"/>
        <v>-</v>
      </c>
      <c r="H87" s="40"/>
      <c r="I87" s="40"/>
      <c r="J87" s="40"/>
      <c r="K87" s="40"/>
      <c r="L87" s="40"/>
      <c r="M87" s="40"/>
      <c r="N87" s="40"/>
      <c r="O87" s="159">
        <f>H87*(IF(PROFIL!$J$15&lt;&gt;"",PROFIL!$D$6*(1-PROFIL!$J$15),PROFIL!$D$6))</f>
        <v>0</v>
      </c>
      <c r="P87" s="159">
        <f>I87*(IF(PROFIL!$J$15&lt;&gt;"",PROFIL!$D$7*(1-PROFIL!$J$15),PROFIL!$D$7))</f>
        <v>0</v>
      </c>
      <c r="Q87" s="159">
        <f>J87*(IF(PROFIL!$J$15&lt;&gt;"",PROFIL!$D$8*(1-PROFIL!$J$15),PROFIL!$D$8))</f>
        <v>0</v>
      </c>
      <c r="R87" s="159">
        <f>K87*(IF(PROFIL!$J$15&lt;&gt;"",PROFIL!$D$9*(1-PROFIL!$J$15),PROFIL!$D$9))</f>
        <v>0</v>
      </c>
      <c r="S87" s="159">
        <f>L87*(IF(PROFIL!$J$15&lt;&gt;"",PROFIL!$D$10*(1-PROFIL!$J$15),PROFIL!$D$10))</f>
        <v>0</v>
      </c>
      <c r="T87" s="159">
        <f>M87*(IF(PROFIL!$J$15&lt;&gt;"",PROFIL!$D$11*(1-PROFIL!$J$15),PROFIL!$D$11))</f>
        <v>0</v>
      </c>
      <c r="U87" s="159">
        <f>N87*(IF(PROFIL!$J$15&lt;&gt;"",PROFIL!$D$12*(1-PROFIL!$J$15),PROFIL!$D$12))</f>
        <v>0</v>
      </c>
      <c r="V87" s="19"/>
      <c r="W87" s="39"/>
    </row>
    <row r="88" spans="1:23" ht="14.1">
      <c r="A88" s="16"/>
      <c r="B88" s="17"/>
      <c r="C88" s="18"/>
      <c r="D88" s="18"/>
      <c r="E88" s="93"/>
      <c r="F88" s="45" t="str">
        <f t="shared" si="19"/>
        <v>-</v>
      </c>
      <c r="G88" s="28" t="str">
        <f t="shared" si="20"/>
        <v>-</v>
      </c>
      <c r="H88" s="40"/>
      <c r="I88" s="40"/>
      <c r="J88" s="40"/>
      <c r="K88" s="40"/>
      <c r="L88" s="40"/>
      <c r="M88" s="40"/>
      <c r="N88" s="40"/>
      <c r="O88" s="159">
        <f>H88*(IF(PROFIL!$J$15&lt;&gt;"",PROFIL!$D$6*(1-PROFIL!$J$15),PROFIL!$D$6))</f>
        <v>0</v>
      </c>
      <c r="P88" s="159">
        <f>I88*(IF(PROFIL!$J$15&lt;&gt;"",PROFIL!$D$7*(1-PROFIL!$J$15),PROFIL!$D$7))</f>
        <v>0</v>
      </c>
      <c r="Q88" s="159">
        <f>J88*(IF(PROFIL!$J$15&lt;&gt;"",PROFIL!$D$8*(1-PROFIL!$J$15),PROFIL!$D$8))</f>
        <v>0</v>
      </c>
      <c r="R88" s="159">
        <f>K88*(IF(PROFIL!$J$15&lt;&gt;"",PROFIL!$D$9*(1-PROFIL!$J$15),PROFIL!$D$9))</f>
        <v>0</v>
      </c>
      <c r="S88" s="159">
        <f>L88*(IF(PROFIL!$J$15&lt;&gt;"",PROFIL!$D$10*(1-PROFIL!$J$15),PROFIL!$D$10))</f>
        <v>0</v>
      </c>
      <c r="T88" s="159">
        <f>M88*(IF(PROFIL!$J$15&lt;&gt;"",PROFIL!$D$11*(1-PROFIL!$J$15),PROFIL!$D$11))</f>
        <v>0</v>
      </c>
      <c r="U88" s="159">
        <f>N88*(IF(PROFIL!$J$15&lt;&gt;"",PROFIL!$D$12*(1-PROFIL!$J$15),PROFIL!$D$12))</f>
        <v>0</v>
      </c>
      <c r="V88" s="19"/>
      <c r="W88" s="39"/>
    </row>
    <row r="89" spans="1:23" ht="14.1">
      <c r="A89" s="16"/>
      <c r="B89" s="17"/>
      <c r="C89" s="18"/>
      <c r="D89" s="18"/>
      <c r="E89" s="93"/>
      <c r="F89" s="45" t="str">
        <f t="shared" si="19"/>
        <v>-</v>
      </c>
      <c r="G89" s="28" t="str">
        <f t="shared" si="20"/>
        <v>-</v>
      </c>
      <c r="H89" s="40"/>
      <c r="I89" s="40"/>
      <c r="J89" s="40"/>
      <c r="K89" s="40"/>
      <c r="L89" s="40"/>
      <c r="M89" s="40"/>
      <c r="N89" s="40"/>
      <c r="O89" s="159">
        <f>H89*(IF(PROFIL!$J$15&lt;&gt;"",PROFIL!$D$6*(1-PROFIL!$J$15),PROFIL!$D$6))</f>
        <v>0</v>
      </c>
      <c r="P89" s="159">
        <f>I89*(IF(PROFIL!$J$15&lt;&gt;"",PROFIL!$D$7*(1-PROFIL!$J$15),PROFIL!$D$7))</f>
        <v>0</v>
      </c>
      <c r="Q89" s="159">
        <f>J89*(IF(PROFIL!$J$15&lt;&gt;"",PROFIL!$D$8*(1-PROFIL!$J$15),PROFIL!$D$8))</f>
        <v>0</v>
      </c>
      <c r="R89" s="159">
        <f>K89*(IF(PROFIL!$J$15&lt;&gt;"",PROFIL!$D$9*(1-PROFIL!$J$15),PROFIL!$D$9))</f>
        <v>0</v>
      </c>
      <c r="S89" s="159">
        <f>L89*(IF(PROFIL!$J$15&lt;&gt;"",PROFIL!$D$10*(1-PROFIL!$J$15),PROFIL!$D$10))</f>
        <v>0</v>
      </c>
      <c r="T89" s="159">
        <f>M89*(IF(PROFIL!$J$15&lt;&gt;"",PROFIL!$D$11*(1-PROFIL!$J$15),PROFIL!$D$11))</f>
        <v>0</v>
      </c>
      <c r="U89" s="159">
        <f>N89*(IF(PROFIL!$J$15&lt;&gt;"",PROFIL!$D$12*(1-PROFIL!$J$15),PROFIL!$D$12))</f>
        <v>0</v>
      </c>
      <c r="V89" s="19"/>
      <c r="W89" s="39"/>
    </row>
    <row r="90" spans="1:23" ht="14.1">
      <c r="A90" s="16"/>
      <c r="B90" s="17"/>
      <c r="C90" s="18"/>
      <c r="D90" s="18"/>
      <c r="E90" s="93"/>
      <c r="F90" s="45" t="str">
        <f t="shared" si="19"/>
        <v>-</v>
      </c>
      <c r="G90" s="28" t="str">
        <f t="shared" si="20"/>
        <v>-</v>
      </c>
      <c r="H90" s="40"/>
      <c r="I90" s="40"/>
      <c r="J90" s="40"/>
      <c r="K90" s="40"/>
      <c r="L90" s="40"/>
      <c r="M90" s="40"/>
      <c r="N90" s="40"/>
      <c r="O90" s="159">
        <f>H90*(IF(PROFIL!$J$15&lt;&gt;"",PROFIL!$D$6*(1-PROFIL!$J$15),PROFIL!$D$6))</f>
        <v>0</v>
      </c>
      <c r="P90" s="159">
        <f>I90*(IF(PROFIL!$J$15&lt;&gt;"",PROFIL!$D$7*(1-PROFIL!$J$15),PROFIL!$D$7))</f>
        <v>0</v>
      </c>
      <c r="Q90" s="159">
        <f>J90*(IF(PROFIL!$J$15&lt;&gt;"",PROFIL!$D$8*(1-PROFIL!$J$15),PROFIL!$D$8))</f>
        <v>0</v>
      </c>
      <c r="R90" s="159">
        <f>K90*(IF(PROFIL!$J$15&lt;&gt;"",PROFIL!$D$9*(1-PROFIL!$J$15),PROFIL!$D$9))</f>
        <v>0</v>
      </c>
      <c r="S90" s="159">
        <f>L90*(IF(PROFIL!$J$15&lt;&gt;"",PROFIL!$D$10*(1-PROFIL!$J$15),PROFIL!$D$10))</f>
        <v>0</v>
      </c>
      <c r="T90" s="159">
        <f>M90*(IF(PROFIL!$J$15&lt;&gt;"",PROFIL!$D$11*(1-PROFIL!$J$15),PROFIL!$D$11))</f>
        <v>0</v>
      </c>
      <c r="U90" s="159">
        <f>N90*(IF(PROFIL!$J$15&lt;&gt;"",PROFIL!$D$12*(1-PROFIL!$J$15),PROFIL!$D$12))</f>
        <v>0</v>
      </c>
      <c r="V90" s="19"/>
      <c r="W90" s="39"/>
    </row>
    <row r="91" spans="1:23" ht="14.1">
      <c r="A91" s="16"/>
      <c r="B91" s="17"/>
      <c r="C91" s="18"/>
      <c r="D91" s="18"/>
      <c r="E91" s="93"/>
      <c r="F91" s="45" t="str">
        <f t="shared" si="19"/>
        <v>-</v>
      </c>
      <c r="G91" s="28" t="str">
        <f t="shared" si="20"/>
        <v>-</v>
      </c>
      <c r="H91" s="40"/>
      <c r="I91" s="40"/>
      <c r="J91" s="40"/>
      <c r="K91" s="40"/>
      <c r="L91" s="40"/>
      <c r="M91" s="40"/>
      <c r="N91" s="40"/>
      <c r="O91" s="159">
        <f>H91*(IF(PROFIL!$J$15&lt;&gt;"",PROFIL!$D$6*(1-PROFIL!$J$15),PROFIL!$D$6))</f>
        <v>0</v>
      </c>
      <c r="P91" s="159">
        <f>I91*(IF(PROFIL!$J$15&lt;&gt;"",PROFIL!$D$7*(1-PROFIL!$J$15),PROFIL!$D$7))</f>
        <v>0</v>
      </c>
      <c r="Q91" s="159">
        <f>J91*(IF(PROFIL!$J$15&lt;&gt;"",PROFIL!$D$8*(1-PROFIL!$J$15),PROFIL!$D$8))</f>
        <v>0</v>
      </c>
      <c r="R91" s="159">
        <f>K91*(IF(PROFIL!$J$15&lt;&gt;"",PROFIL!$D$9*(1-PROFIL!$J$15),PROFIL!$D$9))</f>
        <v>0</v>
      </c>
      <c r="S91" s="159">
        <f>L91*(IF(PROFIL!$J$15&lt;&gt;"",PROFIL!$D$10*(1-PROFIL!$J$15),PROFIL!$D$10))</f>
        <v>0</v>
      </c>
      <c r="T91" s="159">
        <f>M91*(IF(PROFIL!$J$15&lt;&gt;"",PROFIL!$D$11*(1-PROFIL!$J$15),PROFIL!$D$11))</f>
        <v>0</v>
      </c>
      <c r="U91" s="159">
        <f>N91*(IF(PROFIL!$J$15&lt;&gt;"",PROFIL!$D$12*(1-PROFIL!$J$15),PROFIL!$D$12))</f>
        <v>0</v>
      </c>
      <c r="V91" s="19"/>
      <c r="W91" s="39"/>
    </row>
    <row r="92" spans="1:23" ht="14.1">
      <c r="A92" s="16"/>
      <c r="B92" s="17"/>
      <c r="C92" s="18"/>
      <c r="D92" s="18"/>
      <c r="E92" s="93"/>
      <c r="F92" s="45" t="str">
        <f t="shared" si="19"/>
        <v>-</v>
      </c>
      <c r="G92" s="28" t="str">
        <f t="shared" si="20"/>
        <v>-</v>
      </c>
      <c r="H92" s="40"/>
      <c r="I92" s="40"/>
      <c r="J92" s="40"/>
      <c r="K92" s="40"/>
      <c r="L92" s="40"/>
      <c r="M92" s="40"/>
      <c r="N92" s="40"/>
      <c r="O92" s="159">
        <f>H92*(IF(PROFIL!$J$15&lt;&gt;"",PROFIL!$D$6*(1-PROFIL!$J$15),PROFIL!$D$6))</f>
        <v>0</v>
      </c>
      <c r="P92" s="159">
        <f>I92*(IF(PROFIL!$J$15&lt;&gt;"",PROFIL!$D$7*(1-PROFIL!$J$15),PROFIL!$D$7))</f>
        <v>0</v>
      </c>
      <c r="Q92" s="159">
        <f>J92*(IF(PROFIL!$J$15&lt;&gt;"",PROFIL!$D$8*(1-PROFIL!$J$15),PROFIL!$D$8))</f>
        <v>0</v>
      </c>
      <c r="R92" s="159">
        <f>K92*(IF(PROFIL!$J$15&lt;&gt;"",PROFIL!$D$9*(1-PROFIL!$J$15),PROFIL!$D$9))</f>
        <v>0</v>
      </c>
      <c r="S92" s="159">
        <f>L92*(IF(PROFIL!$J$15&lt;&gt;"",PROFIL!$D$10*(1-PROFIL!$J$15),PROFIL!$D$10))</f>
        <v>0</v>
      </c>
      <c r="T92" s="159">
        <f>M92*(IF(PROFIL!$J$15&lt;&gt;"",PROFIL!$D$11*(1-PROFIL!$J$15),PROFIL!$D$11))</f>
        <v>0</v>
      </c>
      <c r="U92" s="159">
        <f>N92*(IF(PROFIL!$J$15&lt;&gt;"",PROFIL!$D$12*(1-PROFIL!$J$15),PROFIL!$D$12))</f>
        <v>0</v>
      </c>
      <c r="V92" s="19"/>
      <c r="W92" s="39"/>
    </row>
    <row r="93" spans="1:23" ht="14.1">
      <c r="A93" s="16"/>
      <c r="B93" s="17"/>
      <c r="C93" s="18"/>
      <c r="D93" s="18"/>
      <c r="E93" s="93"/>
      <c r="F93" s="45" t="str">
        <f t="shared" si="19"/>
        <v>-</v>
      </c>
      <c r="G93" s="28" t="str">
        <f t="shared" si="20"/>
        <v>-</v>
      </c>
      <c r="H93" s="40"/>
      <c r="I93" s="40"/>
      <c r="J93" s="40"/>
      <c r="K93" s="40"/>
      <c r="L93" s="40"/>
      <c r="M93" s="40"/>
      <c r="N93" s="40"/>
      <c r="O93" s="159">
        <f>H93*(IF(PROFIL!$J$15&lt;&gt;"",PROFIL!$D$6*(1-PROFIL!$J$15),PROFIL!$D$6))</f>
        <v>0</v>
      </c>
      <c r="P93" s="159">
        <f>I93*(IF(PROFIL!$J$15&lt;&gt;"",PROFIL!$D$7*(1-PROFIL!$J$15),PROFIL!$D$7))</f>
        <v>0</v>
      </c>
      <c r="Q93" s="159">
        <f>J93*(IF(PROFIL!$J$15&lt;&gt;"",PROFIL!$D$8*(1-PROFIL!$J$15),PROFIL!$D$8))</f>
        <v>0</v>
      </c>
      <c r="R93" s="159">
        <f>K93*(IF(PROFIL!$J$15&lt;&gt;"",PROFIL!$D$9*(1-PROFIL!$J$15),PROFIL!$D$9))</f>
        <v>0</v>
      </c>
      <c r="S93" s="159">
        <f>L93*(IF(PROFIL!$J$15&lt;&gt;"",PROFIL!$D$10*(1-PROFIL!$J$15),PROFIL!$D$10))</f>
        <v>0</v>
      </c>
      <c r="T93" s="159">
        <f>M93*(IF(PROFIL!$J$15&lt;&gt;"",PROFIL!$D$11*(1-PROFIL!$J$15),PROFIL!$D$11))</f>
        <v>0</v>
      </c>
      <c r="U93" s="159">
        <f>N93*(IF(PROFIL!$J$15&lt;&gt;"",PROFIL!$D$12*(1-PROFIL!$J$15),PROFIL!$D$12))</f>
        <v>0</v>
      </c>
      <c r="V93" s="19"/>
      <c r="W93" s="39"/>
    </row>
    <row r="94" spans="1:23" ht="14.1">
      <c r="A94" s="16"/>
      <c r="B94" s="17"/>
      <c r="C94" s="18"/>
      <c r="D94" s="18"/>
      <c r="E94" s="93"/>
      <c r="F94" s="45" t="str">
        <f t="shared" si="19"/>
        <v>-</v>
      </c>
      <c r="G94" s="28" t="str">
        <f t="shared" si="20"/>
        <v>-</v>
      </c>
      <c r="H94" s="40"/>
      <c r="I94" s="40"/>
      <c r="J94" s="40"/>
      <c r="K94" s="40"/>
      <c r="L94" s="40"/>
      <c r="M94" s="40"/>
      <c r="N94" s="40"/>
      <c r="O94" s="159">
        <f>H94*(IF(PROFIL!$J$15&lt;&gt;"",PROFIL!$D$6*(1-PROFIL!$J$15),PROFIL!$D$6))</f>
        <v>0</v>
      </c>
      <c r="P94" s="159">
        <f>I94*(IF(PROFIL!$J$15&lt;&gt;"",PROFIL!$D$7*(1-PROFIL!$J$15),PROFIL!$D$7))</f>
        <v>0</v>
      </c>
      <c r="Q94" s="159">
        <f>J94*(IF(PROFIL!$J$15&lt;&gt;"",PROFIL!$D$8*(1-PROFIL!$J$15),PROFIL!$D$8))</f>
        <v>0</v>
      </c>
      <c r="R94" s="159">
        <f>K94*(IF(PROFIL!$J$15&lt;&gt;"",PROFIL!$D$9*(1-PROFIL!$J$15),PROFIL!$D$9))</f>
        <v>0</v>
      </c>
      <c r="S94" s="159">
        <f>L94*(IF(PROFIL!$J$15&lt;&gt;"",PROFIL!$D$10*(1-PROFIL!$J$15),PROFIL!$D$10))</f>
        <v>0</v>
      </c>
      <c r="T94" s="159">
        <f>M94*(IF(PROFIL!$J$15&lt;&gt;"",PROFIL!$D$11*(1-PROFIL!$J$15),PROFIL!$D$11))</f>
        <v>0</v>
      </c>
      <c r="U94" s="159">
        <f>N94*(IF(PROFIL!$J$15&lt;&gt;"",PROFIL!$D$12*(1-PROFIL!$J$15),PROFIL!$D$12))</f>
        <v>0</v>
      </c>
      <c r="V94" s="19"/>
      <c r="W94" s="39"/>
    </row>
    <row r="95" spans="1:23" ht="14.45" thickBot="1">
      <c r="A95" s="16"/>
      <c r="B95" s="17"/>
      <c r="C95" s="18"/>
      <c r="D95" s="18"/>
      <c r="E95" s="93"/>
      <c r="F95" s="45" t="str">
        <f t="shared" si="17"/>
        <v>-</v>
      </c>
      <c r="G95" s="28" t="str">
        <f t="shared" si="18"/>
        <v>-</v>
      </c>
      <c r="H95" s="40"/>
      <c r="I95" s="40"/>
      <c r="J95" s="40"/>
      <c r="K95" s="40"/>
      <c r="L95" s="40"/>
      <c r="M95" s="40"/>
      <c r="N95" s="40"/>
      <c r="O95" s="159">
        <f>H95*(IF(PROFIL!$J$15&lt;&gt;"",PROFIL!$D$6*(1-PROFIL!$J$15),PROFIL!$D$6))</f>
        <v>0</v>
      </c>
      <c r="P95" s="159">
        <f>I95*(IF(PROFIL!$J$15&lt;&gt;"",PROFIL!$D$7*(1-PROFIL!$J$15),PROFIL!$D$7))</f>
        <v>0</v>
      </c>
      <c r="Q95" s="159">
        <f>J95*(IF(PROFIL!$J$15&lt;&gt;"",PROFIL!$D$8*(1-PROFIL!$J$15),PROFIL!$D$8))</f>
        <v>0</v>
      </c>
      <c r="R95" s="159">
        <f>K95*(IF(PROFIL!$J$15&lt;&gt;"",PROFIL!$D$9*(1-PROFIL!$J$15),PROFIL!$D$9))</f>
        <v>0</v>
      </c>
      <c r="S95" s="159">
        <f>L95*(IF(PROFIL!$J$15&lt;&gt;"",PROFIL!$D$10*(1-PROFIL!$J$15),PROFIL!$D$10))</f>
        <v>0</v>
      </c>
      <c r="T95" s="159">
        <f>M95*(IF(PROFIL!$J$15&lt;&gt;"",PROFIL!$D$11*(1-PROFIL!$J$15),PROFIL!$D$11))</f>
        <v>0</v>
      </c>
      <c r="U95" s="159">
        <f>N95*(IF(PROFIL!$J$15&lt;&gt;"",PROFIL!$D$12*(1-PROFIL!$J$15),PROFIL!$D$12))</f>
        <v>0</v>
      </c>
      <c r="V95" s="19"/>
      <c r="W95" s="39"/>
    </row>
    <row r="96" spans="1:23" ht="15.75" customHeight="1" thickBot="1">
      <c r="E96" s="35"/>
      <c r="F96" s="45">
        <f t="shared" ref="F96:U96" si="23">SUBTOTAL(9,F5:F95)</f>
        <v>104</v>
      </c>
      <c r="G96" s="28">
        <f t="shared" si="23"/>
        <v>77425</v>
      </c>
      <c r="H96" s="26">
        <f t="shared" si="23"/>
        <v>21.5</v>
      </c>
      <c r="I96" s="26">
        <f t="shared" si="23"/>
        <v>10.5</v>
      </c>
      <c r="J96" s="26">
        <f t="shared" si="23"/>
        <v>29.5</v>
      </c>
      <c r="K96" s="26">
        <f t="shared" si="23"/>
        <v>37.5</v>
      </c>
      <c r="L96" s="26">
        <f t="shared" si="23"/>
        <v>5</v>
      </c>
      <c r="M96" s="26">
        <f t="shared" si="23"/>
        <v>0</v>
      </c>
      <c r="N96" s="26">
        <f t="shared" si="23"/>
        <v>0</v>
      </c>
      <c r="O96" s="160">
        <f t="shared" si="23"/>
        <v>16125</v>
      </c>
      <c r="P96" s="161">
        <f t="shared" si="23"/>
        <v>8925</v>
      </c>
      <c r="Q96" s="161">
        <f t="shared" si="23"/>
        <v>22125</v>
      </c>
      <c r="R96" s="161">
        <f t="shared" si="23"/>
        <v>26250</v>
      </c>
      <c r="S96" s="161">
        <f t="shared" si="23"/>
        <v>4000</v>
      </c>
      <c r="T96" s="161">
        <f t="shared" si="23"/>
        <v>0</v>
      </c>
      <c r="U96" s="162">
        <f t="shared" si="23"/>
        <v>0</v>
      </c>
    </row>
  </sheetData>
  <sheetProtection sheet="1" objects="1" scenarios="1"/>
  <autoFilter ref="A4:W95" xr:uid="{00280ABC-326E-47B9-9726-D9E03899AA67}"/>
  <mergeCells count="1">
    <mergeCell ref="O3:U3"/>
  </mergeCells>
  <dataValidations count="4">
    <dataValidation type="list" allowBlank="1" showInputMessage="1" showErrorMessage="1" sqref="I4:N4" xr:uid="{00000000-0002-0000-0200-000000000000}">
      <formula1>PROFIL</formula1>
    </dataValidation>
    <dataValidation type="list" allowBlank="1" showInputMessage="1" showErrorMessage="1" sqref="C5:C95" xr:uid="{00000000-0002-0000-0200-000001000000}">
      <formula1>PHASE</formula1>
    </dataValidation>
    <dataValidation type="list" allowBlank="1" showInputMessage="1" showErrorMessage="1" sqref="D5:D95" xr:uid="{00000000-0002-0000-0200-000002000000}">
      <formula1>ETAPE</formula1>
    </dataValidation>
    <dataValidation type="list" allowBlank="1" showInputMessage="1" showErrorMessage="1" sqref="V5:V95" xr:uid="{00000000-0002-0000-0200-000003000000}">
      <formula1>"oui,non"</formula1>
    </dataValidation>
  </dataValidations>
  <pageMargins left="0.7" right="0.7" top="0.75" bottom="0.75" header="0.3" footer="0.3"/>
  <pageSetup paperSize="9" scale="46" orientation="landscape" r:id="rId1"/>
  <drawing r:id="rId2"/>
  <legacyDrawing r:id="rId3"/>
  <controls>
    <mc:AlternateContent xmlns:mc="http://schemas.openxmlformats.org/markup-compatibility/2006">
      <mc:Choice Requires="x14">
        <control shapeId="3077" r:id="rId4" name="CommandButton1">
          <controlPr defaultSize="0" autoLine="0" r:id="rId5">
            <anchor moveWithCells="1">
              <from>
                <xdr:col>3</xdr:col>
                <xdr:colOff>184150</xdr:colOff>
                <xdr:row>0</xdr:row>
                <xdr:rowOff>95250</xdr:rowOff>
              </from>
              <to>
                <xdr:col>3</xdr:col>
                <xdr:colOff>1847850</xdr:colOff>
                <xdr:row>0</xdr:row>
                <xdr:rowOff>393700</xdr:rowOff>
              </to>
            </anchor>
          </controlPr>
        </control>
      </mc:Choice>
      <mc:Fallback>
        <control shapeId="3077" r:id="rId4" name="CommandButton1"/>
      </mc:Fallback>
    </mc:AlternateContent>
    <mc:AlternateContent xmlns:mc="http://schemas.openxmlformats.org/markup-compatibility/2006">
      <mc:Choice Requires="x14">
        <control shapeId="3078" r:id="rId6" name="CommandButton2">
          <controlPr defaultSize="0" autoLine="0" r:id="rId7">
            <anchor moveWithCells="1">
              <from>
                <xdr:col>4</xdr:col>
                <xdr:colOff>19050</xdr:colOff>
                <xdr:row>0</xdr:row>
                <xdr:rowOff>76200</xdr:rowOff>
              </from>
              <to>
                <xdr:col>4</xdr:col>
                <xdr:colOff>1689100</xdr:colOff>
                <xdr:row>0</xdr:row>
                <xdr:rowOff>374650</xdr:rowOff>
              </to>
            </anchor>
          </controlPr>
        </control>
      </mc:Choice>
      <mc:Fallback>
        <control shapeId="3078" r:id="rId6" name="CommandButton2"/>
      </mc:Fallback>
    </mc:AlternateContent>
  </control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stopIfTrue="1" id="{854BF6E1-9621-4CD3-8998-399ADDBD611E}">
            <xm:f>$C5=REF!$B$12</xm:f>
            <x14:dxf>
              <font>
                <color theme="0"/>
              </font>
              <fill>
                <patternFill>
                  <bgColor theme="0" tint="-0.499984740745262"/>
                </patternFill>
              </fill>
            </x14:dxf>
          </x14:cfRule>
          <x14:cfRule type="expression" priority="19" stopIfTrue="1" id="{0BC6A3A4-633E-4E73-B0AD-8A7F62D00D02}">
            <xm:f>$C5=REF!$B$11</xm:f>
            <x14:dxf>
              <fill>
                <patternFill>
                  <bgColor rgb="FFFF99CC"/>
                </patternFill>
              </fill>
            </x14:dxf>
          </x14:cfRule>
          <x14:cfRule type="expression" priority="20" stopIfTrue="1" id="{C2D6FFE0-C949-4489-AA93-609314FA7C72}">
            <xm:f>$C5=REF!$B$10</xm:f>
            <x14:dxf>
              <fill>
                <patternFill>
                  <bgColor rgb="FFDFC9EF"/>
                </patternFill>
              </fill>
            </x14:dxf>
          </x14:cfRule>
          <x14:cfRule type="expression" priority="21" stopIfTrue="1" id="{9E7E34CB-73D5-4BC5-A11E-106E4B60A9F4}">
            <xm:f>$C5=REF!$B$9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22" stopIfTrue="1" id="{4D22C89E-0C8C-44B6-ABEC-768F76892D6E}">
            <xm:f>$C5=REF!$B$8</xm:f>
            <x14:dxf>
              <fill>
                <patternFill>
                  <bgColor theme="7" tint="0.79998168889431442"/>
                </patternFill>
              </fill>
            </x14:dxf>
          </x14:cfRule>
          <x14:cfRule type="expression" priority="23" stopIfTrue="1" id="{BA783D95-BB9E-408F-B2C3-6957A5C454DB}">
            <xm:f>$C5=REF!$B$7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4" stopIfTrue="1" id="{FB597455-8400-4B5D-8EA2-2A7B2E0BFDDA}">
            <xm:f>$C5=REF!$B$6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25" stopIfTrue="1" id="{6DEF1C5E-1C09-4ED3-8ADA-9C9A9DDCCE01}">
            <xm:f>$C5=REF!$B$5</xm:f>
            <x14:dxf>
              <fill>
                <patternFill>
                  <bgColor theme="0" tint="-4.9989318521683403E-2"/>
                </patternFill>
              </fill>
            </x14:dxf>
          </x14:cfRule>
          <xm:sqref>A31:E95 A5:D30 H5:W95</xm:sqref>
        </x14:conditionalFormatting>
        <x14:conditionalFormatting xmlns:xm="http://schemas.microsoft.com/office/excel/2006/main">
          <x14:cfRule type="expression" priority="1" stopIfTrue="1" id="{2A251C0E-FE8A-4801-A7F7-BD0D7425E6AD}">
            <xm:f>$C29=REF!$B$12</xm:f>
            <x14:dxf>
              <font>
                <color theme="0"/>
              </font>
              <fill>
                <patternFill>
                  <bgColor theme="0" tint="-0.499984740745262"/>
                </patternFill>
              </fill>
            </x14:dxf>
          </x14:cfRule>
          <x14:cfRule type="expression" priority="2" stopIfTrue="1" id="{D0E5C150-28E3-4B3B-9869-113B49AB0C59}">
            <xm:f>$C29=REF!$B$11</xm:f>
            <x14:dxf>
              <fill>
                <patternFill>
                  <bgColor rgb="FFFF99CC"/>
                </patternFill>
              </fill>
            </x14:dxf>
          </x14:cfRule>
          <x14:cfRule type="expression" priority="3" stopIfTrue="1" id="{98D631E9-932D-46C9-A5B4-BD1A8BA79260}">
            <xm:f>$C29=REF!$B$10</xm:f>
            <x14:dxf>
              <fill>
                <patternFill>
                  <bgColor rgb="FFDFC9EF"/>
                </patternFill>
              </fill>
            </x14:dxf>
          </x14:cfRule>
          <x14:cfRule type="expression" priority="4" stopIfTrue="1" id="{6C63ACEA-9747-4754-A764-C0B57C4EEBC4}">
            <xm:f>$C29=REF!$B$9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5" stopIfTrue="1" id="{06D8A21D-BFC2-45DB-B37C-33A1ACFD59B2}">
            <xm:f>$C29=REF!$B$8</xm:f>
            <x14:dxf>
              <fill>
                <patternFill>
                  <bgColor theme="7" tint="0.79998168889431442"/>
                </patternFill>
              </fill>
            </x14:dxf>
          </x14:cfRule>
          <x14:cfRule type="expression" priority="6" stopIfTrue="1" id="{69231AA0-4488-406C-8760-172180230838}">
            <xm:f>$C29=REF!$B$7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" stopIfTrue="1" id="{7711F653-AD2F-4AB7-B83E-D318E0593773}">
            <xm:f>$C29=REF!$B$6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8" stopIfTrue="1" id="{289099C0-DD7E-4DF3-9E5F-8F999F4EDED9}">
            <xm:f>$C29=REF!$B$5</xm:f>
            <x14:dxf>
              <fill>
                <patternFill>
                  <bgColor theme="0" tint="-4.9989318521683403E-2"/>
                </patternFill>
              </fill>
            </x14:dxf>
          </x14:cfRule>
          <xm:sqref>E29:E30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6"/>
  <dimension ref="A1:N16"/>
  <sheetViews>
    <sheetView showGridLines="0" zoomScaleNormal="100" workbookViewId="0">
      <selection activeCell="M12" sqref="M12"/>
    </sheetView>
  </sheetViews>
  <sheetFormatPr defaultColWidth="11" defaultRowHeight="14.1"/>
  <cols>
    <col min="1" max="1" width="11" style="5"/>
    <col min="2" max="2" width="35.25" style="5" customWidth="1"/>
    <col min="3" max="3" width="12.5" style="5" customWidth="1"/>
    <col min="4" max="4" width="8.5" style="123" bestFit="1" customWidth="1"/>
    <col min="5" max="5" width="6.625" style="123" bestFit="1" customWidth="1"/>
    <col min="6" max="6" width="10.125" style="123" bestFit="1" customWidth="1"/>
    <col min="7" max="7" width="2.75" style="5" customWidth="1"/>
    <col min="8" max="8" width="9.625" style="5" customWidth="1"/>
    <col min="9" max="16384" width="11" style="5"/>
  </cols>
  <sheetData>
    <row r="1" spans="1:14" ht="33.75" customHeight="1">
      <c r="A1" s="9"/>
      <c r="B1" s="110" t="s">
        <v>255</v>
      </c>
      <c r="C1" s="10"/>
      <c r="D1" s="11"/>
      <c r="E1" s="12"/>
      <c r="F1" s="12"/>
      <c r="G1" s="11"/>
      <c r="H1" s="11"/>
      <c r="I1" s="11"/>
      <c r="J1" s="11"/>
      <c r="K1" s="11"/>
      <c r="L1" s="12"/>
      <c r="M1" s="12"/>
      <c r="N1" s="12"/>
    </row>
    <row r="4" spans="1:14" ht="34.5">
      <c r="B4" s="30" t="s">
        <v>172</v>
      </c>
      <c r="C4" s="31" t="s">
        <v>256</v>
      </c>
      <c r="D4" s="31" t="s">
        <v>257</v>
      </c>
      <c r="E4" s="31" t="s">
        <v>258</v>
      </c>
      <c r="F4" s="31" t="s">
        <v>259</v>
      </c>
      <c r="G4" s="22"/>
      <c r="H4" s="31" t="s">
        <v>260</v>
      </c>
    </row>
    <row r="5" spans="1:14">
      <c r="B5" s="69" t="s">
        <v>43</v>
      </c>
      <c r="C5" s="143">
        <v>0.2</v>
      </c>
      <c r="D5" s="15">
        <f>$D$10*C5</f>
        <v>1.5</v>
      </c>
      <c r="E5" s="15">
        <f>SUMIF(WORKLOAD!$D$5:$D$95,B5,WORKLOAD!$F$5:$F$95)</f>
        <v>22</v>
      </c>
      <c r="F5" s="164">
        <f>IFERROR(E5/$E$10,"")</f>
        <v>2.9333333333333331</v>
      </c>
      <c r="H5" s="20">
        <f>IFERROR(F5-C5,"")</f>
        <v>2.7333333333333329</v>
      </c>
    </row>
    <row r="6" spans="1:14">
      <c r="B6" s="69" t="s">
        <v>261</v>
      </c>
      <c r="C6" s="143">
        <v>0.05</v>
      </c>
      <c r="D6" s="15">
        <f>$D$10*C6</f>
        <v>0.375</v>
      </c>
      <c r="E6" s="15">
        <f>SUMIF(WORKLOAD!$D$5:$D$95,B6,WORKLOAD!$F$5:$F$95)</f>
        <v>1.5</v>
      </c>
      <c r="F6" s="164">
        <f t="shared" ref="F6:F14" si="0">IFERROR(E6/$E$10,"")</f>
        <v>0.2</v>
      </c>
      <c r="H6" s="20">
        <f t="shared" ref="H6:H8" si="1">IFERROR(F6-C6,"")</f>
        <v>0.15000000000000002</v>
      </c>
    </row>
    <row r="7" spans="1:14">
      <c r="B7" s="69" t="s">
        <v>28</v>
      </c>
      <c r="C7" s="143">
        <v>0.25</v>
      </c>
      <c r="D7" s="15">
        <f>$D$10*C7</f>
        <v>1.875</v>
      </c>
      <c r="E7" s="15">
        <f>SUMIF(WORKLOAD!$D$5:$D$95,B7,WORKLOAD!$F$5:$F$95)</f>
        <v>4</v>
      </c>
      <c r="F7" s="164">
        <f t="shared" si="0"/>
        <v>0.53333333333333333</v>
      </c>
      <c r="H7" s="20">
        <f t="shared" si="1"/>
        <v>0.28333333333333333</v>
      </c>
    </row>
    <row r="8" spans="1:14">
      <c r="B8" s="69" t="s">
        <v>262</v>
      </c>
      <c r="C8" s="143">
        <v>0.2</v>
      </c>
      <c r="D8" s="15">
        <f>$D$10*C8</f>
        <v>1.5</v>
      </c>
      <c r="E8" s="15">
        <f>SUMIF(WORKLOAD!$D$5:$D$95,B8,WORKLOAD!$F$5:$F$95)</f>
        <v>0</v>
      </c>
      <c r="F8" s="164">
        <f t="shared" si="0"/>
        <v>0</v>
      </c>
      <c r="H8" s="20">
        <f t="shared" si="1"/>
        <v>-0.2</v>
      </c>
    </row>
    <row r="9" spans="1:14">
      <c r="B9" s="69" t="s">
        <v>263</v>
      </c>
      <c r="C9" s="143">
        <v>0.15</v>
      </c>
      <c r="D9" s="15">
        <f>$D$10*C9</f>
        <v>1.125</v>
      </c>
      <c r="E9" s="15">
        <f>SUMIF(WORKLOAD!$D$5:$D$95,B9,WORKLOAD!$F$5:$F$95)</f>
        <v>0</v>
      </c>
      <c r="F9" s="164">
        <f t="shared" si="0"/>
        <v>0</v>
      </c>
      <c r="H9" s="20">
        <f>IFERROR(F9-C9,"")</f>
        <v>-0.15</v>
      </c>
    </row>
    <row r="10" spans="1:14">
      <c r="B10" s="26" t="s">
        <v>34</v>
      </c>
      <c r="C10" s="23">
        <v>1</v>
      </c>
      <c r="D10" s="32">
        <f>E10</f>
        <v>7.5</v>
      </c>
      <c r="E10" s="32">
        <f>SUMIF(WORKLOAD!$D$5:$D$95,B10,WORKLOAD!$F$5:$F$95)</f>
        <v>7.5</v>
      </c>
      <c r="F10" s="165">
        <v>1</v>
      </c>
      <c r="G10" s="22"/>
      <c r="H10" s="33">
        <f>F10-C10</f>
        <v>0</v>
      </c>
    </row>
    <row r="11" spans="1:14">
      <c r="B11" s="69" t="s">
        <v>264</v>
      </c>
      <c r="C11" s="143">
        <v>0.2</v>
      </c>
      <c r="D11" s="15">
        <f>$D$10*C11</f>
        <v>1.5</v>
      </c>
      <c r="E11" s="15">
        <f>SUMIF(WORKLOAD!$D$5:$D$95,B11,WORKLOAD!$F$5:$F$95)</f>
        <v>0</v>
      </c>
      <c r="F11" s="164">
        <f t="shared" si="0"/>
        <v>0</v>
      </c>
      <c r="H11" s="20">
        <f>IFERROR(F11-C11,"")</f>
        <v>-0.2</v>
      </c>
    </row>
    <row r="12" spans="1:14">
      <c r="B12" s="69" t="s">
        <v>40</v>
      </c>
      <c r="C12" s="143">
        <v>0.1</v>
      </c>
      <c r="D12" s="15">
        <f>$D$10*C12</f>
        <v>0.75</v>
      </c>
      <c r="E12" s="15">
        <f>SUMIF(WORKLOAD!$D$5:$D$95,B12,WORKLOAD!$F$5:$F$95)</f>
        <v>6</v>
      </c>
      <c r="F12" s="164">
        <f t="shared" si="0"/>
        <v>0.8</v>
      </c>
      <c r="H12" s="20">
        <f t="shared" ref="H12:H14" si="2">IFERROR(F12-C12,"")</f>
        <v>0.70000000000000007</v>
      </c>
    </row>
    <row r="13" spans="1:14">
      <c r="B13" s="69" t="s">
        <v>265</v>
      </c>
      <c r="C13" s="143">
        <v>0.1</v>
      </c>
      <c r="D13" s="15">
        <f>$D$10*C13</f>
        <v>0.75</v>
      </c>
      <c r="E13" s="15">
        <f>SUMIF(WORKLOAD!$D$5:$D$95,B13,WORKLOAD!$F$5:$F$95)</f>
        <v>0</v>
      </c>
      <c r="F13" s="164">
        <f t="shared" si="0"/>
        <v>0</v>
      </c>
      <c r="H13" s="20">
        <f t="shared" si="2"/>
        <v>-0.1</v>
      </c>
    </row>
    <row r="14" spans="1:14">
      <c r="B14" s="69" t="s">
        <v>266</v>
      </c>
      <c r="C14" s="143">
        <v>0.06</v>
      </c>
      <c r="D14" s="15">
        <f>$D$10*C14</f>
        <v>0.44999999999999996</v>
      </c>
      <c r="E14" s="15">
        <f>SUMIF(WORKLOAD!$D$5:$D$95,B14,WORKLOAD!$F$5:$F$95)</f>
        <v>0</v>
      </c>
      <c r="F14" s="164">
        <f t="shared" si="0"/>
        <v>0</v>
      </c>
      <c r="H14" s="20">
        <f t="shared" si="2"/>
        <v>-0.06</v>
      </c>
    </row>
    <row r="15" spans="1:14">
      <c r="B15" s="8"/>
      <c r="C15" s="24"/>
      <c r="D15" s="120"/>
      <c r="E15" s="120"/>
      <c r="F15" s="120"/>
    </row>
    <row r="16" spans="1:14">
      <c r="B16" s="26" t="s">
        <v>123</v>
      </c>
      <c r="C16" s="23">
        <f>SUM(C5:C14)</f>
        <v>2.3100000000000005</v>
      </c>
      <c r="D16" s="166">
        <f>SUM(D5:D14)</f>
        <v>17.324999999999999</v>
      </c>
      <c r="E16" s="166">
        <f>SUM(E5:E14)</f>
        <v>41</v>
      </c>
      <c r="F16" s="167">
        <f>SUM(F5:F14)</f>
        <v>5.4666666666666659</v>
      </c>
    </row>
  </sheetData>
  <sheetProtection sheet="1" objects="1" scenarios="1"/>
  <dataValidations count="1">
    <dataValidation type="list" allowBlank="1" showInputMessage="1" showErrorMessage="1" sqref="B5:B14" xr:uid="{00000000-0002-0000-0600-000000000000}">
      <formula1>ETAPE</formula1>
    </dataValidation>
  </dataValidations>
  <pageMargins left="0.7" right="0.7" top="0.75" bottom="0.75" header="0.3" footer="0.3"/>
  <pageSetup paperSize="9" orientation="portrait" r:id="rId1"/>
  <ignoredErrors>
    <ignoredError sqref="H10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A96A941C-9BD7-414D-AEE7-E2C23B3A72D7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H5:H9 H11:H14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5"/>
  <dimension ref="A1:S16"/>
  <sheetViews>
    <sheetView showGridLines="0" workbookViewId="0">
      <selection activeCell="C8" sqref="C8"/>
    </sheetView>
  </sheetViews>
  <sheetFormatPr defaultColWidth="11" defaultRowHeight="14.1"/>
  <cols>
    <col min="1" max="1" width="11" style="5"/>
    <col min="2" max="2" width="3.625" style="5" customWidth="1"/>
    <col min="3" max="3" width="29.125" style="5" customWidth="1"/>
    <col min="4" max="4" width="8.75" style="5" customWidth="1"/>
    <col min="5" max="5" width="11.75" style="5" bestFit="1" customWidth="1"/>
    <col min="6" max="6" width="12.625" style="5" bestFit="1" customWidth="1"/>
    <col min="7" max="7" width="3.25" style="5" customWidth="1"/>
    <col min="8" max="9" width="14.75" style="5" customWidth="1"/>
    <col min="10" max="10" width="13.25" style="5" customWidth="1"/>
    <col min="11" max="11" width="13.75" style="5" customWidth="1"/>
    <col min="12" max="16384" width="11" style="5"/>
  </cols>
  <sheetData>
    <row r="1" spans="1:19" ht="32.25" customHeight="1">
      <c r="A1" s="1"/>
      <c r="B1" s="36" t="s">
        <v>267</v>
      </c>
      <c r="C1" s="13"/>
      <c r="D1" s="4"/>
      <c r="E1" s="4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2"/>
      <c r="R1" s="2"/>
      <c r="S1" s="2"/>
    </row>
    <row r="3" spans="1:19">
      <c r="B3" s="63" t="s">
        <v>267</v>
      </c>
      <c r="H3" s="63" t="s">
        <v>268</v>
      </c>
    </row>
    <row r="4" spans="1:19" ht="31.5" customHeight="1">
      <c r="B4" s="29" t="s">
        <v>269</v>
      </c>
      <c r="C4" s="48" t="s">
        <v>270</v>
      </c>
      <c r="D4" s="29" t="s">
        <v>271</v>
      </c>
      <c r="E4" s="29" t="s">
        <v>272</v>
      </c>
      <c r="F4" s="31" t="s">
        <v>273</v>
      </c>
      <c r="H4" s="31" t="s">
        <v>274</v>
      </c>
      <c r="I4" s="31" t="s">
        <v>275</v>
      </c>
      <c r="J4" s="31" t="s">
        <v>276</v>
      </c>
      <c r="K4" s="31" t="s">
        <v>277</v>
      </c>
    </row>
    <row r="5" spans="1:19">
      <c r="B5" s="21">
        <v>1</v>
      </c>
      <c r="C5" s="69" t="s">
        <v>278</v>
      </c>
      <c r="D5" s="87">
        <v>0.2</v>
      </c>
      <c r="E5" s="135"/>
      <c r="F5" s="27">
        <f>D5*SYNTHESE!$D$8</f>
        <v>15485</v>
      </c>
      <c r="H5" s="86" t="str">
        <f>IF(E5&lt;&gt;"",HLOOKUP(E5,PLANNING!$F$4:$U$14,11,FALSE),"")</f>
        <v/>
      </c>
      <c r="I5" s="86" t="str">
        <f>IF(E5&lt;&gt;"",F5,"")</f>
        <v/>
      </c>
      <c r="J5" s="86" t="str">
        <f>IF(E5&lt;&gt;"",H5-I5,"")</f>
        <v/>
      </c>
      <c r="K5" s="137" t="str">
        <f>IF(E5&lt;&gt;"",(-J5/$F$13),"")</f>
        <v/>
      </c>
    </row>
    <row r="6" spans="1:19">
      <c r="B6" s="21">
        <v>2</v>
      </c>
      <c r="C6" s="69" t="s">
        <v>279</v>
      </c>
      <c r="D6" s="87">
        <v>0.3</v>
      </c>
      <c r="E6" s="135"/>
      <c r="F6" s="27">
        <f>D6*SYNTHESE!$D$8</f>
        <v>23227.5</v>
      </c>
      <c r="H6" s="86" t="str">
        <f>IF(E6&lt;&gt;"",HLOOKUP(E6,PLANNING!$F$4:$U$14,11,FALSE),"")</f>
        <v/>
      </c>
      <c r="I6" s="86" t="str">
        <f>IF(E6&lt;&gt;"",F6+I5,"")</f>
        <v/>
      </c>
      <c r="J6" s="86" t="str">
        <f t="shared" ref="J6:J12" si="0">IF(E6&lt;&gt;"",H6-I6,"")</f>
        <v/>
      </c>
      <c r="K6" s="137" t="str">
        <f t="shared" ref="K6:K7" si="1">IF(E6&lt;&gt;"",(-J6/$F$13),"")</f>
        <v/>
      </c>
    </row>
    <row r="7" spans="1:19">
      <c r="B7" s="21">
        <v>3</v>
      </c>
      <c r="C7" s="69" t="s">
        <v>280</v>
      </c>
      <c r="D7" s="87">
        <v>0.28000000000000003</v>
      </c>
      <c r="E7" s="135"/>
      <c r="F7" s="27">
        <f>D7*SYNTHESE!$D$8</f>
        <v>21679.000000000004</v>
      </c>
      <c r="H7" s="86" t="str">
        <f>IF(E7&lt;&gt;"",HLOOKUP(E7,PLANNING!$F$4:$U$14,11,FALSE),"")</f>
        <v/>
      </c>
      <c r="I7" s="86" t="str">
        <f t="shared" ref="I7:I12" si="2">IF(E7&lt;&gt;"",F7+I6,"")</f>
        <v/>
      </c>
      <c r="J7" s="86" t="str">
        <f t="shared" si="0"/>
        <v/>
      </c>
      <c r="K7" s="137" t="str">
        <f t="shared" si="1"/>
        <v/>
      </c>
    </row>
    <row r="8" spans="1:19">
      <c r="B8" s="21">
        <v>4</v>
      </c>
      <c r="C8" s="69" t="s">
        <v>281</v>
      </c>
      <c r="D8" s="87">
        <v>0.22</v>
      </c>
      <c r="E8" s="135"/>
      <c r="F8" s="27">
        <f>D8*SYNTHESE!$D$8</f>
        <v>17033.5</v>
      </c>
      <c r="H8" s="86" t="str">
        <f>IF(E8&lt;&gt;"",HLOOKUP(E8,PLANNING!$F$4:$U$14,11,FALSE),"")</f>
        <v/>
      </c>
      <c r="I8" s="86" t="str">
        <f t="shared" si="2"/>
        <v/>
      </c>
      <c r="J8" s="86" t="str">
        <f t="shared" si="0"/>
        <v/>
      </c>
      <c r="K8" s="137" t="str">
        <f t="shared" ref="K8:K12" si="3">IF(E8&lt;&gt;"",(-J8/H8),"")</f>
        <v/>
      </c>
    </row>
    <row r="9" spans="1:19">
      <c r="B9" s="21">
        <v>5</v>
      </c>
      <c r="C9" s="69"/>
      <c r="D9" s="87"/>
      <c r="E9" s="135"/>
      <c r="F9" s="27">
        <f>D9*SYNTHESE!$D$8</f>
        <v>0</v>
      </c>
      <c r="H9" s="86" t="str">
        <f>IF(E9&lt;&gt;"",HLOOKUP(E9,PLANNING!$F$4:$U$14,11,FALSE),"")</f>
        <v/>
      </c>
      <c r="I9" s="86" t="str">
        <f t="shared" si="2"/>
        <v/>
      </c>
      <c r="J9" s="86" t="str">
        <f t="shared" si="0"/>
        <v/>
      </c>
      <c r="K9" s="137" t="str">
        <f t="shared" si="3"/>
        <v/>
      </c>
    </row>
    <row r="10" spans="1:19">
      <c r="B10" s="21">
        <v>6</v>
      </c>
      <c r="C10" s="69"/>
      <c r="D10" s="87"/>
      <c r="E10" s="135"/>
      <c r="F10" s="27">
        <f>D10*SYNTHESE!$D$8</f>
        <v>0</v>
      </c>
      <c r="H10" s="86" t="str">
        <f>IF(E10&lt;&gt;"",HLOOKUP(E10,PLANNING!$F$4:$U$14,11,FALSE),"")</f>
        <v/>
      </c>
      <c r="I10" s="86" t="str">
        <f t="shared" si="2"/>
        <v/>
      </c>
      <c r="J10" s="86" t="str">
        <f t="shared" si="0"/>
        <v/>
      </c>
      <c r="K10" s="137" t="str">
        <f t="shared" si="3"/>
        <v/>
      </c>
    </row>
    <row r="11" spans="1:19">
      <c r="B11" s="21">
        <v>7</v>
      </c>
      <c r="C11" s="69"/>
      <c r="D11" s="87"/>
      <c r="E11" s="135"/>
      <c r="F11" s="27">
        <f>D11*SYNTHESE!$D$8</f>
        <v>0</v>
      </c>
      <c r="H11" s="86" t="str">
        <f>IF(E11&lt;&gt;"",HLOOKUP(E11,PLANNING!$F$4:$U$14,11,FALSE),"")</f>
        <v/>
      </c>
      <c r="I11" s="86" t="str">
        <f t="shared" si="2"/>
        <v/>
      </c>
      <c r="J11" s="86" t="str">
        <f t="shared" si="0"/>
        <v/>
      </c>
      <c r="K11" s="137" t="str">
        <f t="shared" si="3"/>
        <v/>
      </c>
    </row>
    <row r="12" spans="1:19">
      <c r="B12" s="21">
        <v>8</v>
      </c>
      <c r="C12" s="69"/>
      <c r="D12" s="87"/>
      <c r="E12" s="135"/>
      <c r="F12" s="27">
        <f>D12*SYNTHESE!$D$8</f>
        <v>0</v>
      </c>
      <c r="H12" s="86" t="str">
        <f>IF(E12&lt;&gt;"",HLOOKUP(E12,PLANNING!$F$4:$U$14,11,FALSE),"")</f>
        <v/>
      </c>
      <c r="I12" s="86" t="str">
        <f t="shared" si="2"/>
        <v/>
      </c>
      <c r="J12" s="86" t="str">
        <f t="shared" si="0"/>
        <v/>
      </c>
      <c r="K12" s="137" t="str">
        <f t="shared" si="3"/>
        <v/>
      </c>
    </row>
    <row r="13" spans="1:19">
      <c r="B13" s="8"/>
      <c r="C13" s="8"/>
      <c r="E13" s="34" t="s">
        <v>123</v>
      </c>
      <c r="F13" s="27">
        <f>SUBTOTAL(9,F5:F12)</f>
        <v>77425</v>
      </c>
      <c r="H13" s="8"/>
      <c r="I13" s="8"/>
      <c r="J13" s="8"/>
      <c r="K13" s="8"/>
    </row>
    <row r="14" spans="1:19">
      <c r="B14" s="8"/>
      <c r="C14" s="8"/>
      <c r="D14" s="8"/>
      <c r="E14" s="8"/>
      <c r="F14" s="8"/>
      <c r="H14" s="8"/>
      <c r="I14" s="8"/>
      <c r="J14" s="8"/>
      <c r="K14" s="8"/>
    </row>
    <row r="15" spans="1:19">
      <c r="B15" s="8"/>
      <c r="C15" s="8"/>
      <c r="D15" s="8"/>
      <c r="E15" s="8"/>
      <c r="F15" s="8"/>
      <c r="H15" s="8"/>
      <c r="I15" s="8"/>
      <c r="J15" s="8"/>
      <c r="K15" s="8"/>
    </row>
    <row r="16" spans="1:19">
      <c r="B16" s="8"/>
      <c r="C16" s="8"/>
      <c r="D16" s="8"/>
      <c r="E16" s="8"/>
      <c r="F16" s="8"/>
      <c r="G16" s="8"/>
      <c r="H16" s="8"/>
      <c r="I16" s="8"/>
      <c r="J16" s="8"/>
      <c r="K16" s="8"/>
    </row>
  </sheetData>
  <sheetProtection sheet="1" objects="1" scenarios="1"/>
  <conditionalFormatting sqref="J5:J12">
    <cfRule type="cellIs" dxfId="2" priority="1" operator="greaterThan">
      <formula>0</formula>
    </cfRule>
    <cfRule type="cellIs" dxfId="1" priority="2" operator="lessThan">
      <formula>0</formula>
    </cfRule>
  </conditionalFormatting>
  <dataValidations count="1">
    <dataValidation type="list" allowBlank="1" showInputMessage="1" showErrorMessage="1" sqref="E5:E12" xr:uid="{00000000-0002-0000-0500-000000000000}">
      <formula1>MOIS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3F23D092-8C9C-4BC9-9184-389D5985C3E2}">
            <x14:iconSet iconSet="3Symbols2" custom="1">
              <x14:cfvo type="percent">
                <xm:f>0</xm:f>
              </x14:cfvo>
              <x14:cfvo type="num">
                <xm:f>-20</xm:f>
              </x14:cfvo>
              <x14:cfvo type="num">
                <xm:f>0</xm:f>
              </x14:cfvo>
              <x14:cfIcon iconSet="3Flags" iconId="0"/>
              <x14:cfIcon iconSet="3Flags" iconId="1"/>
              <x14:cfIcon iconSet="3Flags" iconId="2"/>
            </x14:iconSet>
          </x14:cfRule>
          <xm:sqref>K5:K12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U27"/>
  <sheetViews>
    <sheetView showGridLines="0" workbookViewId="0">
      <selection activeCell="V17" sqref="V17"/>
    </sheetView>
  </sheetViews>
  <sheetFormatPr defaultColWidth="11" defaultRowHeight="16.5"/>
  <cols>
    <col min="1" max="1" width="7.75" customWidth="1"/>
    <col min="2" max="2" width="23.125" bestFit="1" customWidth="1"/>
    <col min="3" max="3" width="10" customWidth="1"/>
    <col min="4" max="4" width="9.125" hidden="1" customWidth="1"/>
    <col min="5" max="5" width="8.125" bestFit="1" customWidth="1"/>
    <col min="6" max="21" width="9" customWidth="1"/>
  </cols>
  <sheetData>
    <row r="1" spans="1:21" s="5" customFormat="1" ht="33" customHeight="1">
      <c r="A1" s="1"/>
      <c r="B1" s="36" t="s">
        <v>282</v>
      </c>
      <c r="C1" s="13"/>
      <c r="D1" s="13"/>
      <c r="E1" s="13"/>
      <c r="F1" s="2"/>
      <c r="G1" s="2"/>
      <c r="H1" s="2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</row>
    <row r="4" spans="1:21" ht="23.1">
      <c r="B4" s="60" t="s">
        <v>96</v>
      </c>
      <c r="C4" s="61" t="s">
        <v>283</v>
      </c>
      <c r="D4" s="61" t="s">
        <v>101</v>
      </c>
      <c r="E4" s="61" t="s">
        <v>284</v>
      </c>
      <c r="F4" s="134">
        <f>REF!H5</f>
        <v>45292</v>
      </c>
      <c r="G4" s="134">
        <f>REF!H6</f>
        <v>45323</v>
      </c>
      <c r="H4" s="134">
        <f>REF!H7</f>
        <v>45352</v>
      </c>
      <c r="I4" s="134">
        <f>REF!H8</f>
        <v>45383</v>
      </c>
      <c r="J4" s="134">
        <f>REF!H9</f>
        <v>45413</v>
      </c>
      <c r="K4" s="134">
        <f>REF!H10</f>
        <v>45444</v>
      </c>
      <c r="L4" s="134">
        <f>REF!H11</f>
        <v>45474</v>
      </c>
      <c r="M4" s="134">
        <f>REF!H12</f>
        <v>45505</v>
      </c>
      <c r="N4" s="134">
        <f>REF!H13</f>
        <v>45536</v>
      </c>
      <c r="O4" s="134">
        <f>REF!H14</f>
        <v>45566</v>
      </c>
      <c r="P4" s="134">
        <f>REF!H15</f>
        <v>45597</v>
      </c>
      <c r="Q4" s="134">
        <f>REF!H16</f>
        <v>45627</v>
      </c>
      <c r="R4" s="134">
        <f>REF!H17</f>
        <v>45658</v>
      </c>
      <c r="S4" s="134">
        <f>REF!H18</f>
        <v>45689</v>
      </c>
      <c r="T4" s="134">
        <f>REF!H19</f>
        <v>45717</v>
      </c>
      <c r="U4" s="134">
        <f>REF!H20</f>
        <v>45748</v>
      </c>
    </row>
    <row r="5" spans="1:21">
      <c r="B5" s="48" t="str">
        <f>PROFIL!B6</f>
        <v>Chef de Projet</v>
      </c>
      <c r="C5" s="57">
        <f>PROFIL!I6</f>
        <v>21.5</v>
      </c>
      <c r="D5" s="109">
        <f>IF(PROFIL!$J$15&lt;&gt;"",PROFIL!D6*(1-PROFIL!$J$15),PROFIL!D6)</f>
        <v>750</v>
      </c>
      <c r="E5" s="59">
        <f>SUM(F5:U5)-C5</f>
        <v>-21.5</v>
      </c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</row>
    <row r="6" spans="1:21">
      <c r="B6" s="48" t="str">
        <f>PROFIL!B7</f>
        <v>Architecte</v>
      </c>
      <c r="C6" s="57">
        <f>PROFIL!I7</f>
        <v>10.5</v>
      </c>
      <c r="D6" s="109">
        <f>IF(PROFIL!$J$15&lt;&gt;"",PROFIL!D7*(1-PROFIL!$J$15),PROFIL!D7)</f>
        <v>850</v>
      </c>
      <c r="E6" s="59">
        <f t="shared" ref="E6:E12" si="0">SUM(F6:U6)-C6</f>
        <v>-10.5</v>
      </c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</row>
    <row r="7" spans="1:21">
      <c r="B7" s="48" t="str">
        <f>PROFIL!B8</f>
        <v>Consultant Technique</v>
      </c>
      <c r="C7" s="57">
        <f>PROFIL!I8</f>
        <v>29.5</v>
      </c>
      <c r="D7" s="109">
        <f>IF(PROFIL!$J$15&lt;&gt;"",PROFIL!D8*(1-PROFIL!$J$15),PROFIL!D8)</f>
        <v>750</v>
      </c>
      <c r="E7" s="59">
        <f t="shared" si="0"/>
        <v>-29.5</v>
      </c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</row>
    <row r="8" spans="1:21">
      <c r="B8" s="48" t="str">
        <f>PROFIL!B9</f>
        <v>Consultant Change</v>
      </c>
      <c r="C8" s="57">
        <f>PROFIL!I9</f>
        <v>37.5</v>
      </c>
      <c r="D8" s="109">
        <f>IF(PROFIL!$J$15&lt;&gt;"",PROFIL!D9*(1-PROFIL!$J$15),PROFIL!D9)</f>
        <v>700</v>
      </c>
      <c r="E8" s="59">
        <f t="shared" si="0"/>
        <v>-37.5</v>
      </c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</row>
    <row r="9" spans="1:21">
      <c r="B9" s="48" t="str">
        <f>PROFIL!B10</f>
        <v>Consultant Data</v>
      </c>
      <c r="C9" s="57">
        <f>PROFIL!I10</f>
        <v>5</v>
      </c>
      <c r="D9" s="109">
        <f>IF(PROFIL!$J$15&lt;&gt;"",PROFIL!D10*(1-PROFIL!$J$15),PROFIL!D10)</f>
        <v>800</v>
      </c>
      <c r="E9" s="59">
        <f t="shared" si="0"/>
        <v>-5</v>
      </c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</row>
    <row r="10" spans="1:21">
      <c r="B10" s="48">
        <f>PROFIL!B11</f>
        <v>0</v>
      </c>
      <c r="C10" s="57">
        <f>PROFIL!I11</f>
        <v>0</v>
      </c>
      <c r="D10" s="109">
        <f>IF(PROFIL!$J$15&lt;&gt;"",PROFIL!D11*(1-PROFIL!$J$15),PROFIL!D11)</f>
        <v>0</v>
      </c>
      <c r="E10" s="59">
        <f t="shared" si="0"/>
        <v>0</v>
      </c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</row>
    <row r="11" spans="1:21">
      <c r="B11" s="48">
        <f>PROFIL!B12</f>
        <v>0</v>
      </c>
      <c r="C11" s="57">
        <f>PROFIL!I12</f>
        <v>0</v>
      </c>
      <c r="D11" s="109">
        <f>IF(PROFIL!$J$15&lt;&gt;"",PROFIL!D12*(1-PROFIL!$J$15),PROFIL!D12)</f>
        <v>0</v>
      </c>
      <c r="E11" s="59">
        <f t="shared" si="0"/>
        <v>0</v>
      </c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</row>
    <row r="12" spans="1:21">
      <c r="B12" s="56" t="s">
        <v>285</v>
      </c>
      <c r="C12" s="57">
        <f>PROFIL!I13</f>
        <v>104</v>
      </c>
      <c r="E12" s="59">
        <f t="shared" si="0"/>
        <v>-104</v>
      </c>
      <c r="F12" s="58" t="str">
        <f t="shared" ref="F12:U12" si="1">IF(SUM(F5:F11)&lt;&gt;0,SUM(F5:F11),"")</f>
        <v/>
      </c>
      <c r="G12" s="58" t="str">
        <f t="shared" si="1"/>
        <v/>
      </c>
      <c r="H12" s="58" t="str">
        <f t="shared" si="1"/>
        <v/>
      </c>
      <c r="I12" s="58" t="str">
        <f t="shared" si="1"/>
        <v/>
      </c>
      <c r="J12" s="58" t="str">
        <f t="shared" si="1"/>
        <v/>
      </c>
      <c r="K12" s="58" t="str">
        <f t="shared" si="1"/>
        <v/>
      </c>
      <c r="L12" s="58" t="str">
        <f t="shared" si="1"/>
        <v/>
      </c>
      <c r="M12" s="58" t="str">
        <f t="shared" si="1"/>
        <v/>
      </c>
      <c r="N12" s="58" t="str">
        <f t="shared" si="1"/>
        <v/>
      </c>
      <c r="O12" s="58" t="str">
        <f t="shared" si="1"/>
        <v/>
      </c>
      <c r="P12" s="58" t="str">
        <f t="shared" si="1"/>
        <v/>
      </c>
      <c r="Q12" s="58" t="str">
        <f t="shared" si="1"/>
        <v/>
      </c>
      <c r="R12" s="58" t="str">
        <f t="shared" si="1"/>
        <v/>
      </c>
      <c r="S12" s="58" t="str">
        <f t="shared" si="1"/>
        <v/>
      </c>
      <c r="T12" s="58" t="str">
        <f t="shared" si="1"/>
        <v/>
      </c>
      <c r="U12" s="58" t="str">
        <f t="shared" si="1"/>
        <v/>
      </c>
    </row>
    <row r="13" spans="1:21" hidden="1">
      <c r="B13" s="56" t="s">
        <v>286</v>
      </c>
      <c r="F13" s="62">
        <f>F5*$D$5+F6*$D$6+F7*$D$7+F8*$D$8+F9*$D$9+F10*$D$10+F11*$D$11</f>
        <v>0</v>
      </c>
      <c r="G13" s="62">
        <f>G5*$D$5+G6*$D$6+G7*$D$7+G8*$D$8+G9*$D$9+G10*$D$10+G11*$D$11</f>
        <v>0</v>
      </c>
      <c r="H13" s="62">
        <f t="shared" ref="H13:U13" si="2">H5*$D$5+H6*$D$6+H7*$D$7+H8*$D$8+H9*$D$9+H10*$D$10+H11*$D$11</f>
        <v>0</v>
      </c>
      <c r="I13" s="62">
        <f t="shared" si="2"/>
        <v>0</v>
      </c>
      <c r="J13" s="62">
        <f t="shared" si="2"/>
        <v>0</v>
      </c>
      <c r="K13" s="62">
        <f t="shared" si="2"/>
        <v>0</v>
      </c>
      <c r="L13" s="62">
        <f t="shared" si="2"/>
        <v>0</v>
      </c>
      <c r="M13" s="62">
        <f t="shared" si="2"/>
        <v>0</v>
      </c>
      <c r="N13" s="62">
        <f t="shared" si="2"/>
        <v>0</v>
      </c>
      <c r="O13" s="62">
        <f t="shared" si="2"/>
        <v>0</v>
      </c>
      <c r="P13" s="62">
        <f t="shared" si="2"/>
        <v>0</v>
      </c>
      <c r="Q13" s="62">
        <f t="shared" si="2"/>
        <v>0</v>
      </c>
      <c r="R13" s="62">
        <f t="shared" si="2"/>
        <v>0</v>
      </c>
      <c r="S13" s="62">
        <f t="shared" si="2"/>
        <v>0</v>
      </c>
      <c r="T13" s="62">
        <f t="shared" si="2"/>
        <v>0</v>
      </c>
      <c r="U13" s="62">
        <f t="shared" si="2"/>
        <v>0</v>
      </c>
    </row>
    <row r="14" spans="1:21" hidden="1">
      <c r="B14" s="56" t="s">
        <v>287</v>
      </c>
      <c r="F14" s="62">
        <f>F13</f>
        <v>0</v>
      </c>
      <c r="G14" s="62">
        <f>G13+F14</f>
        <v>0</v>
      </c>
      <c r="H14" s="62">
        <f t="shared" ref="H14:U14" si="3">H13+G14</f>
        <v>0</v>
      </c>
      <c r="I14" s="62">
        <f t="shared" si="3"/>
        <v>0</v>
      </c>
      <c r="J14" s="62">
        <f t="shared" si="3"/>
        <v>0</v>
      </c>
      <c r="K14" s="62">
        <f t="shared" si="3"/>
        <v>0</v>
      </c>
      <c r="L14" s="62">
        <f t="shared" si="3"/>
        <v>0</v>
      </c>
      <c r="M14" s="62">
        <f t="shared" si="3"/>
        <v>0</v>
      </c>
      <c r="N14" s="62">
        <f t="shared" si="3"/>
        <v>0</v>
      </c>
      <c r="O14" s="62">
        <f t="shared" si="3"/>
        <v>0</v>
      </c>
      <c r="P14" s="62">
        <f t="shared" si="3"/>
        <v>0</v>
      </c>
      <c r="Q14" s="62">
        <f t="shared" si="3"/>
        <v>0</v>
      </c>
      <c r="R14" s="62">
        <f t="shared" si="3"/>
        <v>0</v>
      </c>
      <c r="S14" s="62">
        <f t="shared" si="3"/>
        <v>0</v>
      </c>
      <c r="T14" s="62">
        <f t="shared" si="3"/>
        <v>0</v>
      </c>
      <c r="U14" s="62">
        <f t="shared" si="3"/>
        <v>0</v>
      </c>
    </row>
    <row r="18" spans="2:21" ht="23.1">
      <c r="B18" s="60" t="s">
        <v>288</v>
      </c>
      <c r="C18" s="61" t="s">
        <v>289</v>
      </c>
      <c r="D18" s="61" t="s">
        <v>101</v>
      </c>
      <c r="E18" s="61" t="s">
        <v>284</v>
      </c>
      <c r="F18" s="134">
        <f>F4</f>
        <v>45292</v>
      </c>
      <c r="G18" s="134">
        <f t="shared" ref="G18:T18" si="4">G4</f>
        <v>45323</v>
      </c>
      <c r="H18" s="134">
        <f t="shared" si="4"/>
        <v>45352</v>
      </c>
      <c r="I18" s="134">
        <f t="shared" si="4"/>
        <v>45383</v>
      </c>
      <c r="J18" s="134">
        <f t="shared" si="4"/>
        <v>45413</v>
      </c>
      <c r="K18" s="134">
        <f t="shared" si="4"/>
        <v>45444</v>
      </c>
      <c r="L18" s="134">
        <f t="shared" si="4"/>
        <v>45474</v>
      </c>
      <c r="M18" s="134">
        <f t="shared" si="4"/>
        <v>45505</v>
      </c>
      <c r="N18" s="134">
        <f t="shared" si="4"/>
        <v>45536</v>
      </c>
      <c r="O18" s="134">
        <f t="shared" si="4"/>
        <v>45566</v>
      </c>
      <c r="P18" s="134">
        <f t="shared" si="4"/>
        <v>45597</v>
      </c>
      <c r="Q18" s="134">
        <f t="shared" si="4"/>
        <v>45627</v>
      </c>
      <c r="R18" s="134">
        <f t="shared" si="4"/>
        <v>45658</v>
      </c>
      <c r="S18" s="134">
        <f t="shared" si="4"/>
        <v>45689</v>
      </c>
      <c r="T18" s="134">
        <f t="shared" si="4"/>
        <v>45717</v>
      </c>
      <c r="U18" s="134">
        <f>U4</f>
        <v>45748</v>
      </c>
    </row>
    <row r="19" spans="2:21">
      <c r="B19" s="48" t="str">
        <f>REF!B5</f>
        <v>PILOTAGE</v>
      </c>
      <c r="C19" s="168">
        <f>'VENTILATION CHARGE'!K7</f>
        <v>22</v>
      </c>
      <c r="D19" s="109">
        <v>588.33333333333337</v>
      </c>
      <c r="E19" s="59">
        <f t="shared" ref="E19:E22" si="5">IFERROR(SUM(F19:U19)-C19,0)</f>
        <v>-22</v>
      </c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</row>
    <row r="20" spans="2:21">
      <c r="B20" s="48" t="str">
        <f>REF!B6</f>
        <v>CONCEPTION</v>
      </c>
      <c r="C20" s="168">
        <f>'VENTILATION CHARGE'!K8</f>
        <v>8.5</v>
      </c>
      <c r="D20" s="109">
        <v>641.66666666666674</v>
      </c>
      <c r="E20" s="59">
        <f t="shared" si="5"/>
        <v>-8.5</v>
      </c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</row>
    <row r="21" spans="2:21">
      <c r="B21" s="48" t="str">
        <f>REF!B7</f>
        <v>CONSTRUCTION</v>
      </c>
      <c r="C21" s="168">
        <f>'VENTILATION CHARGE'!K9</f>
        <v>7.5</v>
      </c>
      <c r="D21" s="109">
        <v>501.66666666666669</v>
      </c>
      <c r="E21" s="59">
        <f t="shared" si="5"/>
        <v>-7.5</v>
      </c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</row>
    <row r="22" spans="2:21">
      <c r="B22" s="48" t="str">
        <f>REF!B8</f>
        <v>VALIDATION</v>
      </c>
      <c r="C22" s="168">
        <f>'VENTILATION CHARGE'!K10</f>
        <v>56</v>
      </c>
      <c r="D22" s="109">
        <v>435</v>
      </c>
      <c r="E22" s="59">
        <f t="shared" si="5"/>
        <v>-56</v>
      </c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</row>
    <row r="23" spans="2:21">
      <c r="B23" s="48" t="str">
        <f>REF!B9</f>
        <v>FINALISATION</v>
      </c>
      <c r="C23" s="168">
        <f>'VENTILATION CHARGE'!K11</f>
        <v>6</v>
      </c>
      <c r="D23" s="109">
        <v>0</v>
      </c>
      <c r="E23" s="59">
        <f>IFERROR(SUM(F23:U23)-C23,0)</f>
        <v>-6</v>
      </c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</row>
    <row r="24" spans="2:21">
      <c r="B24" s="48" t="str">
        <f>REF!B10</f>
        <v>GARANTIE</v>
      </c>
      <c r="C24" s="168" t="str">
        <f>'VENTILATION CHARGE'!K12</f>
        <v/>
      </c>
      <c r="D24" s="109">
        <v>0</v>
      </c>
      <c r="E24" s="59">
        <f t="shared" ref="E24:E26" si="6">IFERROR(SUM(F24:U24)-C24,0)</f>
        <v>0</v>
      </c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</row>
    <row r="25" spans="2:21">
      <c r="B25" s="48" t="str">
        <f>REF!B11</f>
        <v>TMA</v>
      </c>
      <c r="C25" s="168" t="str">
        <f>'VENTILATION CHARGE'!K13</f>
        <v/>
      </c>
      <c r="D25" s="109">
        <v>0</v>
      </c>
      <c r="E25" s="59">
        <f t="shared" si="6"/>
        <v>0</v>
      </c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</row>
    <row r="26" spans="2:21">
      <c r="B26" s="48" t="str">
        <f>REF!B12</f>
        <v>PROVISION</v>
      </c>
      <c r="C26" s="168">
        <f>'VENTILATION CHARGE'!K14</f>
        <v>4</v>
      </c>
      <c r="D26" s="109" t="s">
        <v>290</v>
      </c>
      <c r="E26" s="59">
        <f t="shared" si="6"/>
        <v>-4</v>
      </c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</row>
    <row r="27" spans="2:21">
      <c r="B27" s="56" t="s">
        <v>285</v>
      </c>
      <c r="C27" s="168">
        <f>SUM(C19:C26)</f>
        <v>104</v>
      </c>
      <c r="E27" s="59">
        <f>SUM(E19:E26)</f>
        <v>-104</v>
      </c>
      <c r="F27" s="58" t="str">
        <f t="shared" ref="F27:U27" si="7">IF(SUM(F19:F26)&lt;&gt;0,SUM(F19:F26),"")</f>
        <v/>
      </c>
      <c r="G27" s="58" t="str">
        <f t="shared" si="7"/>
        <v/>
      </c>
      <c r="H27" s="58" t="str">
        <f t="shared" si="7"/>
        <v/>
      </c>
      <c r="I27" s="58" t="str">
        <f t="shared" si="7"/>
        <v/>
      </c>
      <c r="J27" s="58" t="str">
        <f t="shared" si="7"/>
        <v/>
      </c>
      <c r="K27" s="58" t="str">
        <f t="shared" si="7"/>
        <v/>
      </c>
      <c r="L27" s="58" t="str">
        <f t="shared" si="7"/>
        <v/>
      </c>
      <c r="M27" s="58" t="str">
        <f t="shared" si="7"/>
        <v/>
      </c>
      <c r="N27" s="58" t="str">
        <f t="shared" si="7"/>
        <v/>
      </c>
      <c r="O27" s="58" t="str">
        <f t="shared" si="7"/>
        <v/>
      </c>
      <c r="P27" s="58" t="str">
        <f t="shared" si="7"/>
        <v/>
      </c>
      <c r="Q27" s="58" t="str">
        <f t="shared" si="7"/>
        <v/>
      </c>
      <c r="R27" s="58" t="str">
        <f t="shared" si="7"/>
        <v/>
      </c>
      <c r="S27" s="58" t="str">
        <f t="shared" si="7"/>
        <v/>
      </c>
      <c r="T27" s="58" t="str">
        <f t="shared" si="7"/>
        <v/>
      </c>
      <c r="U27" s="58" t="str">
        <f t="shared" si="7"/>
        <v/>
      </c>
    </row>
  </sheetData>
  <sheetProtection sheet="1" objects="1" scenarios="1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0F7562DF-56BA-46AC-AC75-122F119AB3F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E5:E12</xm:sqref>
        </x14:conditionalFormatting>
        <x14:conditionalFormatting xmlns:xm="http://schemas.microsoft.com/office/excel/2006/main">
          <x14:cfRule type="iconSet" priority="1" id="{30B58964-EE7B-4AF4-8643-6F754F11BF79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E19:E27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7"/>
  <sheetViews>
    <sheetView showGridLines="0" topLeftCell="A10" workbookViewId="0">
      <selection activeCell="B48" sqref="B48"/>
    </sheetView>
  </sheetViews>
  <sheetFormatPr defaultColWidth="11" defaultRowHeight="16.5"/>
  <cols>
    <col min="2" max="2" width="31.75" bestFit="1" customWidth="1"/>
    <col min="3" max="3" width="12.25" customWidth="1"/>
    <col min="4" max="4" width="10.25" bestFit="1" customWidth="1"/>
    <col min="5" max="5" width="11.5" bestFit="1" customWidth="1"/>
    <col min="6" max="6" width="10.25" bestFit="1" customWidth="1"/>
    <col min="7" max="7" width="11.5" bestFit="1" customWidth="1"/>
    <col min="8" max="8" width="10.25" bestFit="1" customWidth="1"/>
    <col min="9" max="9" width="10.25" customWidth="1"/>
    <col min="10" max="10" width="2.5" customWidth="1"/>
    <col min="11" max="11" width="12.5" bestFit="1" customWidth="1"/>
    <col min="12" max="12" width="5.625" customWidth="1"/>
    <col min="15" max="15" width="7.25" customWidth="1"/>
  </cols>
  <sheetData>
    <row r="1" spans="1:13" s="5" customFormat="1" ht="37.5" customHeight="1">
      <c r="A1" s="1"/>
      <c r="B1" s="36" t="s">
        <v>291</v>
      </c>
      <c r="C1" s="36"/>
      <c r="D1" s="6"/>
      <c r="E1" s="6"/>
      <c r="F1" s="2"/>
      <c r="G1" s="2"/>
      <c r="H1" s="3"/>
      <c r="I1" s="3"/>
      <c r="J1" s="3"/>
      <c r="K1" s="3"/>
      <c r="L1" s="3"/>
      <c r="M1" s="2"/>
    </row>
    <row r="3" spans="1:13" ht="12.75" customHeight="1">
      <c r="B3" s="92" t="s">
        <v>292</v>
      </c>
    </row>
    <row r="4" spans="1:13" hidden="1"/>
    <row r="5" spans="1:13" hidden="1"/>
    <row r="6" spans="1:13" ht="87.75" customHeight="1">
      <c r="B6" s="102" t="s">
        <v>293</v>
      </c>
      <c r="C6" s="88" t="str">
        <f>WORKLOAD!H4</f>
        <v>Chef de Projet</v>
      </c>
      <c r="D6" s="90" t="str">
        <f>WORKLOAD!I4</f>
        <v>Architecte</v>
      </c>
      <c r="E6" s="90" t="str">
        <f>WORKLOAD!J4</f>
        <v>Consultant Technique</v>
      </c>
      <c r="F6" s="90" t="str">
        <f>WORKLOAD!K4</f>
        <v>Consultant Change</v>
      </c>
      <c r="G6" s="90" t="str">
        <f>WORKLOAD!L4</f>
        <v>Consultant Data</v>
      </c>
      <c r="H6" s="90">
        <f>WORKLOAD!M4</f>
        <v>0</v>
      </c>
      <c r="I6" s="90">
        <f>WORKLOAD!N4</f>
        <v>0</v>
      </c>
      <c r="J6" s="91"/>
      <c r="K6" s="89" t="s">
        <v>294</v>
      </c>
      <c r="M6" s="89" t="s">
        <v>100</v>
      </c>
    </row>
    <row r="7" spans="1:13">
      <c r="B7" s="94" t="str">
        <f>REF!B5</f>
        <v>PILOTAGE</v>
      </c>
      <c r="C7" s="101">
        <f>IF(SUMIF(WORKLOAD!$C$4:$C$100,'VENTILATION CHARGE'!B7,WORKLOAD!$H$4:$H$100)&lt;&gt;0,SUMIF(WORKLOAD!$C$4:$C$100,'VENTILATION CHARGE'!B7,WORKLOAD!$H$4:$H$100),"")</f>
        <v>20.5</v>
      </c>
      <c r="D7" s="101">
        <f>IF(SUMIF(WORKLOAD!$C$4:$C$100,'VENTILATION CHARGE'!B7,WORKLOAD!$I$4:$I$100)&lt;&gt;0,SUMIF(WORKLOAD!$C$4:$C$100,'VENTILATION CHARGE'!B7,WORKLOAD!$I$4:$I$100),"")</f>
        <v>0.5</v>
      </c>
      <c r="E7" s="101" t="str">
        <f>IF(SUMIF(WORKLOAD!$C$4:$C$100,'VENTILATION CHARGE'!B7,WORKLOAD!$J$4:$J$100)&lt;&gt;0,SUMIF(WORKLOAD!$C$4:$C$100,'VENTILATION CHARGE'!B7,WORKLOAD!$J$4:$J$100),"")</f>
        <v/>
      </c>
      <c r="F7" s="101">
        <f>IF(SUMIF(WORKLOAD!$C$4:$C$100,'VENTILATION CHARGE'!B7,WORKLOAD!$K$4:$K$100)&lt;&gt;0,SUMIF(WORKLOAD!$C$4:$C$100,'VENTILATION CHARGE'!B7,WORKLOAD!$K$4:$K$100),"")</f>
        <v>1</v>
      </c>
      <c r="G7" s="101" t="str">
        <f>IF(SUMIF(WORKLOAD!$C$4:$C$100,'VENTILATION CHARGE'!B7,WORKLOAD!$L$4:$L$100)&lt;&gt;0,SUMIF(WORKLOAD!$C$4:$C$100,'VENTILATION CHARGE'!B7,WORKLOAD!$L$4:$L$100),"")</f>
        <v/>
      </c>
      <c r="H7" s="101" t="str">
        <f>IF(SUMIF(WORKLOAD!$C$4:$C$100,'VENTILATION CHARGE'!B7,WORKLOAD!$M$4:$M$100)&lt;&gt;0,SUMIF(WORKLOAD!$C$4:$C$100,'VENTILATION CHARGE'!B7,WORKLOAD!$M$4:$M$100),"")</f>
        <v/>
      </c>
      <c r="I7" s="101" t="str">
        <f>IF(SUMIF(WORKLOAD!$C$4:$C$100,'VENTILATION CHARGE'!B7,WORKLOAD!$N$4:$N$100)&lt;&gt;0,SUMIF(WORKLOAD!$C$4:$C$100,'VENTILATION CHARGE'!B7,WORKLOAD!$N$4:$N$100),"")</f>
        <v/>
      </c>
      <c r="K7" s="99">
        <f>IF(SUM(C7:I7)&lt;&gt;0,SUM(C7:I7),"")</f>
        <v>22</v>
      </c>
      <c r="M7" s="27">
        <f>IFERROR(K48/K7,"")</f>
        <v>750</v>
      </c>
    </row>
    <row r="8" spans="1:13">
      <c r="B8" s="94" t="str">
        <f>REF!B6</f>
        <v>CONCEPTION</v>
      </c>
      <c r="C8" s="101" t="str">
        <f>IF(SUMIF(WORKLOAD!$C$4:$C$100,'VENTILATION CHARGE'!B8,WORKLOAD!$H$4:$H$100)&lt;&gt;0,SUMIF(WORKLOAD!$C$4:$C$100,'VENTILATION CHARGE'!B8,WORKLOAD!$H$4:$H$100),"")</f>
        <v/>
      </c>
      <c r="D8" s="101">
        <f>IF(SUMIF(WORKLOAD!$C$4:$C$100,'VENTILATION CHARGE'!B8,WORKLOAD!$I$4:$I$100)&lt;&gt;0,SUMIF(WORKLOAD!$C$4:$C$100,'VENTILATION CHARGE'!B8,WORKLOAD!$I$4:$I$100),"")</f>
        <v>7</v>
      </c>
      <c r="E8" s="101">
        <f>IF(SUMIF(WORKLOAD!$C$4:$C$100,'VENTILATION CHARGE'!B8,WORKLOAD!$J$4:$J$100)&lt;&gt;0,SUMIF(WORKLOAD!$C$4:$C$100,'VENTILATION CHARGE'!B8,WORKLOAD!$J$4:$J$100),"")</f>
        <v>1.5</v>
      </c>
      <c r="F8" s="101" t="str">
        <f>IF(SUMIF(WORKLOAD!$C$4:$C$100,'VENTILATION CHARGE'!B8,WORKLOAD!$K$4:$K$100)&lt;&gt;0,SUMIF(WORKLOAD!$C$4:$C$100,'VENTILATION CHARGE'!B8,WORKLOAD!$K$4:$K$100),"")</f>
        <v/>
      </c>
      <c r="G8" s="101" t="str">
        <f>IF(SUMIF(WORKLOAD!$C$4:$C$100,'VENTILATION CHARGE'!B8,WORKLOAD!$L$4:$L$100)&lt;&gt;0,SUMIF(WORKLOAD!$C$4:$C$100,'VENTILATION CHARGE'!B8,WORKLOAD!$L$4:$L$100),"")</f>
        <v/>
      </c>
      <c r="H8" s="101" t="str">
        <f>IF(SUMIF(WORKLOAD!$C$4:$C$100,'VENTILATION CHARGE'!B8,WORKLOAD!$M$4:$M$100)&lt;&gt;0,SUMIF(WORKLOAD!$C$4:$C$100,'VENTILATION CHARGE'!B8,WORKLOAD!$M$4:$M$100),"")</f>
        <v/>
      </c>
      <c r="I8" s="101" t="str">
        <f>IF(SUMIF(WORKLOAD!$C$4:$C$100,'VENTILATION CHARGE'!B8,WORKLOAD!$N$4:$N$100)&lt;&gt;0,SUMIF(WORKLOAD!$C$4:$C$100,'VENTILATION CHARGE'!B8,WORKLOAD!$N$4:$N$100),"")</f>
        <v/>
      </c>
      <c r="K8" s="99">
        <f t="shared" ref="K8:K14" si="0">IF(SUM(C8:I8)&lt;&gt;0,SUM(C8:I8),"")</f>
        <v>8.5</v>
      </c>
      <c r="M8" s="27">
        <f>IFERROR(K49/K8,"")</f>
        <v>832.35294117647061</v>
      </c>
    </row>
    <row r="9" spans="1:13">
      <c r="B9" s="94" t="str">
        <f>REF!B7</f>
        <v>CONSTRUCTION</v>
      </c>
      <c r="C9" s="101" t="str">
        <f>IF(SUMIF(WORKLOAD!$C$4:$C$100,'VENTILATION CHARGE'!B9,WORKLOAD!$H$4:$H$100)&lt;&gt;0,SUMIF(WORKLOAD!$C$4:$C$100,'VENTILATION CHARGE'!B9,WORKLOAD!$H$4:$H$100),"")</f>
        <v/>
      </c>
      <c r="D9" s="101" t="str">
        <f>IF(SUMIF(WORKLOAD!$C$4:$C$100,'VENTILATION CHARGE'!B9,WORKLOAD!$I$4:$I$100)&lt;&gt;0,SUMIF(WORKLOAD!$C$4:$C$100,'VENTILATION CHARGE'!B9,WORKLOAD!$I$4:$I$100),"")</f>
        <v/>
      </c>
      <c r="E9" s="101">
        <f>IF(SUMIF(WORKLOAD!$C$4:$C$100,'VENTILATION CHARGE'!B9,WORKLOAD!$J$4:$J$100)&lt;&gt;0,SUMIF(WORKLOAD!$C$4:$C$100,'VENTILATION CHARGE'!B9,WORKLOAD!$J$4:$J$100),"")</f>
        <v>7.5</v>
      </c>
      <c r="F9" s="101" t="str">
        <f>IF(SUMIF(WORKLOAD!$C$4:$C$100,'VENTILATION CHARGE'!B9,WORKLOAD!$K$4:$K$100)&lt;&gt;0,SUMIF(WORKLOAD!$C$4:$C$100,'VENTILATION CHARGE'!B9,WORKLOAD!$K$4:$K$100),"")</f>
        <v/>
      </c>
      <c r="G9" s="101" t="str">
        <f>IF(SUMIF(WORKLOAD!$C$4:$C$100,'VENTILATION CHARGE'!B9,WORKLOAD!$L$4:$L$100)&lt;&gt;0,SUMIF(WORKLOAD!$C$4:$C$100,'VENTILATION CHARGE'!B9,WORKLOAD!$L$4:$L$100),"")</f>
        <v/>
      </c>
      <c r="H9" s="101" t="str">
        <f>IF(SUMIF(WORKLOAD!$C$4:$C$100,'VENTILATION CHARGE'!B9,WORKLOAD!$M$4:$M$100)&lt;&gt;0,SUMIF(WORKLOAD!$C$4:$C$100,'VENTILATION CHARGE'!B9,WORKLOAD!$M$4:$M$100),"")</f>
        <v/>
      </c>
      <c r="I9" s="101" t="str">
        <f>IF(SUMIF(WORKLOAD!$C$4:$C$100,'VENTILATION CHARGE'!B9,WORKLOAD!$N$4:$N$100)&lt;&gt;0,SUMIF(WORKLOAD!$C$4:$C$100,'VENTILATION CHARGE'!B9,WORKLOAD!$N$4:$N$100),"")</f>
        <v/>
      </c>
      <c r="K9" s="99">
        <f t="shared" si="0"/>
        <v>7.5</v>
      </c>
      <c r="M9" s="27">
        <f>IFERROR(K50/K9,"")</f>
        <v>750</v>
      </c>
    </row>
    <row r="10" spans="1:13">
      <c r="B10" s="94" t="str">
        <f>REF!B8</f>
        <v>VALIDATION</v>
      </c>
      <c r="C10" s="101">
        <f>IF(SUMIF(WORKLOAD!$C$4:$C$100,'VENTILATION CHARGE'!B10,WORKLOAD!$H$4:$H$100)&lt;&gt;0,SUMIF(WORKLOAD!$C$4:$C$100,'VENTILATION CHARGE'!B10,WORKLOAD!$H$4:$H$100),"")</f>
        <v>0.5</v>
      </c>
      <c r="D10" s="101" t="str">
        <f>IF(SUMIF(WORKLOAD!$C$4:$C$100,'VENTILATION CHARGE'!B10,WORKLOAD!$I$4:$I$100)&lt;&gt;0,SUMIF(WORKLOAD!$C$4:$C$100,'VENTILATION CHARGE'!B10,WORKLOAD!$I$4:$I$100),"")</f>
        <v/>
      </c>
      <c r="E10" s="101">
        <f>IF(SUMIF(WORKLOAD!$C$4:$C$100,'VENTILATION CHARGE'!B10,WORKLOAD!$J$4:$J$100)&lt;&gt;0,SUMIF(WORKLOAD!$C$4:$C$100,'VENTILATION CHARGE'!B10,WORKLOAD!$J$4:$J$100),"")</f>
        <v>16.5</v>
      </c>
      <c r="F10" s="101">
        <f>IF(SUMIF(WORKLOAD!$C$4:$C$100,'VENTILATION CHARGE'!B10,WORKLOAD!$K$4:$K$100)&lt;&gt;0,SUMIF(WORKLOAD!$C$4:$C$100,'VENTILATION CHARGE'!B10,WORKLOAD!$K$4:$K$100),"")</f>
        <v>34</v>
      </c>
      <c r="G10" s="101">
        <f>IF(SUMIF(WORKLOAD!$C$4:$C$100,'VENTILATION CHARGE'!B10,WORKLOAD!$L$4:$L$100)&lt;&gt;0,SUMIF(WORKLOAD!$C$4:$C$100,'VENTILATION CHARGE'!B10,WORKLOAD!$L$4:$L$100),"")</f>
        <v>5</v>
      </c>
      <c r="H10" s="101" t="str">
        <f>IF(SUMIF(WORKLOAD!$C$4:$C$100,'VENTILATION CHARGE'!B10,WORKLOAD!$M$4:$M$100)&lt;&gt;0,SUMIF(WORKLOAD!$C$4:$C$100,'VENTILATION CHARGE'!B10,WORKLOAD!$M$4:$M$100),"")</f>
        <v/>
      </c>
      <c r="I10" s="101" t="str">
        <f>IF(SUMIF(WORKLOAD!$C$4:$C$100,'VENTILATION CHARGE'!B10,WORKLOAD!$N$4:$N$100)&lt;&gt;0,SUMIF(WORKLOAD!$C$4:$C$100,'VENTILATION CHARGE'!B10,WORKLOAD!$N$4:$N$100),"")</f>
        <v/>
      </c>
      <c r="K10" s="99">
        <f t="shared" si="0"/>
        <v>56</v>
      </c>
      <c r="M10" s="27">
        <f>IFERROR(K51/K10,"")</f>
        <v>724.10714285714289</v>
      </c>
    </row>
    <row r="11" spans="1:13">
      <c r="B11" s="94" t="str">
        <f>REF!B9</f>
        <v>FINALISATION</v>
      </c>
      <c r="C11" s="101" t="str">
        <f>IF(SUMIF(WORKLOAD!$C$4:$C$100,'VENTILATION CHARGE'!B11,WORKLOAD!$H$4:$H$100)&lt;&gt;0,SUMIF(WORKLOAD!$C$4:$C$100,'VENTILATION CHARGE'!B11,WORKLOAD!$H$4:$H$100),"")</f>
        <v/>
      </c>
      <c r="D11" s="101">
        <f>IF(SUMIF(WORKLOAD!$C$4:$C$100,'VENTILATION CHARGE'!B11,WORKLOAD!$I$4:$I$100)&lt;&gt;0,SUMIF(WORKLOAD!$C$4:$C$100,'VENTILATION CHARGE'!B11,WORKLOAD!$I$4:$I$100),"")</f>
        <v>2</v>
      </c>
      <c r="E11" s="101">
        <f>IF(SUMIF(WORKLOAD!$C$4:$C$100,'VENTILATION CHARGE'!B11,WORKLOAD!$J$4:$J$100)&lt;&gt;0,SUMIF(WORKLOAD!$C$4:$C$100,'VENTILATION CHARGE'!B11,WORKLOAD!$J$4:$J$100),"")</f>
        <v>3</v>
      </c>
      <c r="F11" s="101">
        <f>IF(SUMIF(WORKLOAD!$C$4:$C$100,'VENTILATION CHARGE'!B11,WORKLOAD!$K$4:$K$100)&lt;&gt;0,SUMIF(WORKLOAD!$C$4:$C$100,'VENTILATION CHARGE'!B11,WORKLOAD!$K$4:$K$100),"")</f>
        <v>1</v>
      </c>
      <c r="G11" s="101" t="str">
        <f>IF(SUMIF(WORKLOAD!$C$4:$C$100,'VENTILATION CHARGE'!B11,WORKLOAD!$L$4:$L$100)&lt;&gt;0,SUMIF(WORKLOAD!$C$4:$C$100,'VENTILATION CHARGE'!B11,WORKLOAD!$L$4:$L$100),"")</f>
        <v/>
      </c>
      <c r="H11" s="101" t="str">
        <f>IF(SUMIF(WORKLOAD!$C$4:$C$100,'VENTILATION CHARGE'!B11,WORKLOAD!$M$4:$M$100)&lt;&gt;0,SUMIF(WORKLOAD!$C$4:$C$100,'VENTILATION CHARGE'!B11,WORKLOAD!$M$4:$M$100),"")</f>
        <v/>
      </c>
      <c r="I11" s="101" t="str">
        <f>IF(SUMIF(WORKLOAD!$C$4:$C$100,'VENTILATION CHARGE'!B11,WORKLOAD!$N$4:$N$100)&lt;&gt;0,SUMIF(WORKLOAD!$C$4:$C$100,'VENTILATION CHARGE'!B11,WORKLOAD!$N$4:$N$100),"")</f>
        <v/>
      </c>
      <c r="K11" s="99">
        <f t="shared" si="0"/>
        <v>6</v>
      </c>
      <c r="M11" s="27">
        <f>IFERROR(K52/K11,"")</f>
        <v>775</v>
      </c>
    </row>
    <row r="12" spans="1:13">
      <c r="B12" s="94" t="str">
        <f>REF!B10</f>
        <v>GARANTIE</v>
      </c>
      <c r="C12" s="101" t="str">
        <f>IF(SUMIF(WORKLOAD!$C$4:$C$100,'VENTILATION CHARGE'!B12,WORKLOAD!$H$4:$H$100)&lt;&gt;0,SUMIF(WORKLOAD!$C$4:$C$100,'VENTILATION CHARGE'!B12,WORKLOAD!$H$4:$H$100),"")</f>
        <v/>
      </c>
      <c r="D12" s="101" t="str">
        <f>IF(SUMIF(WORKLOAD!$C$4:$C$100,'VENTILATION CHARGE'!B12,WORKLOAD!$I$4:$I$100)&lt;&gt;0,SUMIF(WORKLOAD!$C$4:$C$100,'VENTILATION CHARGE'!B12,WORKLOAD!$I$4:$I$100),"")</f>
        <v/>
      </c>
      <c r="E12" s="101" t="str">
        <f>IF(SUMIF(WORKLOAD!$C$4:$C$100,'VENTILATION CHARGE'!B12,WORKLOAD!$J$4:$J$100)&lt;&gt;0,SUMIF(WORKLOAD!$C$4:$C$100,'VENTILATION CHARGE'!B12,WORKLOAD!$J$4:$J$100),"")</f>
        <v/>
      </c>
      <c r="F12" s="101" t="str">
        <f>IF(SUMIF(WORKLOAD!$C$4:$C$100,'VENTILATION CHARGE'!B12,WORKLOAD!$K$4:$K$100)&lt;&gt;0,SUMIF(WORKLOAD!$C$4:$C$100,'VENTILATION CHARGE'!B12,WORKLOAD!$K$4:$K$100),"")</f>
        <v/>
      </c>
      <c r="G12" s="101" t="str">
        <f>IF(SUMIF(WORKLOAD!$C$4:$C$100,'VENTILATION CHARGE'!B12,WORKLOAD!$L$4:$L$100)&lt;&gt;0,SUMIF(WORKLOAD!$C$4:$C$100,'VENTILATION CHARGE'!B12,WORKLOAD!$L$4:$L$100),"")</f>
        <v/>
      </c>
      <c r="H12" s="101" t="str">
        <f>IF(SUMIF(WORKLOAD!$C$4:$C$100,'VENTILATION CHARGE'!B12,WORKLOAD!$M$4:$M$100)&lt;&gt;0,SUMIF(WORKLOAD!$C$4:$C$100,'VENTILATION CHARGE'!B12,WORKLOAD!$M$4:$M$100),"")</f>
        <v/>
      </c>
      <c r="I12" s="101" t="str">
        <f>IF(SUMIF(WORKLOAD!$C$4:$C$100,'VENTILATION CHARGE'!B12,WORKLOAD!$N$4:$N$100)&lt;&gt;0,SUMIF(WORKLOAD!$C$4:$C$100,'VENTILATION CHARGE'!B12,WORKLOAD!$N$4:$N$100),"")</f>
        <v/>
      </c>
      <c r="K12" s="99" t="str">
        <f t="shared" ref="K12" si="1">IF(SUM(C12:I12)&lt;&gt;0,SUM(C12:I12),"")</f>
        <v/>
      </c>
      <c r="M12" s="27" t="str">
        <f t="shared" ref="M12" si="2">IFERROR(K52/K12,"")</f>
        <v/>
      </c>
    </row>
    <row r="13" spans="1:13">
      <c r="B13" s="94" t="str">
        <f>REF!B11</f>
        <v>TMA</v>
      </c>
      <c r="C13" s="101" t="str">
        <f>IF(SUMIF(WORKLOAD!$C$4:$C$100,'VENTILATION CHARGE'!B13,WORKLOAD!$H$4:$H$100)&lt;&gt;0,SUMIF(WORKLOAD!$C$4:$C$100,'VENTILATION CHARGE'!B13,WORKLOAD!$H$4:$H$100),"")</f>
        <v/>
      </c>
      <c r="D13" s="101" t="str">
        <f>IF(SUMIF(WORKLOAD!$C$4:$C$100,'VENTILATION CHARGE'!B13,WORKLOAD!$I$4:$I$100)&lt;&gt;0,SUMIF(WORKLOAD!$C$4:$C$100,'VENTILATION CHARGE'!B13,WORKLOAD!$I$4:$I$100),"")</f>
        <v/>
      </c>
      <c r="E13" s="101" t="str">
        <f>IF(SUMIF(WORKLOAD!$C$4:$C$100,'VENTILATION CHARGE'!B13,WORKLOAD!$J$4:$J$100)&lt;&gt;0,SUMIF(WORKLOAD!$C$4:$C$100,'VENTILATION CHARGE'!B13,WORKLOAD!$J$4:$J$100),"")</f>
        <v/>
      </c>
      <c r="F13" s="101" t="str">
        <f>IF(SUMIF(WORKLOAD!$C$4:$C$100,'VENTILATION CHARGE'!B13,WORKLOAD!$K$4:$K$100)&lt;&gt;0,SUMIF(WORKLOAD!$C$4:$C$100,'VENTILATION CHARGE'!B13,WORKLOAD!$K$4:$K$100),"")</f>
        <v/>
      </c>
      <c r="G13" s="101" t="str">
        <f>IF(SUMIF(WORKLOAD!$C$4:$C$100,'VENTILATION CHARGE'!B13,WORKLOAD!$L$4:$L$100)&lt;&gt;0,SUMIF(WORKLOAD!$C$4:$C$100,'VENTILATION CHARGE'!B13,WORKLOAD!$L$4:$L$100),"")</f>
        <v/>
      </c>
      <c r="H13" s="101" t="str">
        <f>IF(SUMIF(WORKLOAD!$C$4:$C$100,'VENTILATION CHARGE'!B13,WORKLOAD!$M$4:$M$100)&lt;&gt;0,SUMIF(WORKLOAD!$C$4:$C$100,'VENTILATION CHARGE'!B13,WORKLOAD!$M$4:$M$100),"")</f>
        <v/>
      </c>
      <c r="I13" s="101" t="str">
        <f>IF(SUMIF(WORKLOAD!$C$4:$C$100,'VENTILATION CHARGE'!B13,WORKLOAD!$N$4:$N$100)&lt;&gt;0,SUMIF(WORKLOAD!$C$4:$C$100,'VENTILATION CHARGE'!B13,WORKLOAD!$N$4:$N$100),"")</f>
        <v/>
      </c>
      <c r="K13" s="99" t="str">
        <f t="shared" si="0"/>
        <v/>
      </c>
      <c r="M13" s="27" t="str">
        <f>IFERROR(K54/K13,"")</f>
        <v/>
      </c>
    </row>
    <row r="14" spans="1:13">
      <c r="B14" s="94" t="str">
        <f>REF!B12</f>
        <v>PROVISION</v>
      </c>
      <c r="C14" s="101">
        <f>IF(SUMIF(WORKLOAD!$C$4:$C$100,'VENTILATION CHARGE'!B14,WORKLOAD!$H$4:$H$100)&lt;&gt;0,SUMIF(WORKLOAD!$C$4:$C$100,'VENTILATION CHARGE'!B14,WORKLOAD!$H$4:$H$100),"")</f>
        <v>0.5</v>
      </c>
      <c r="D14" s="101">
        <f>IF(SUMIF(WORKLOAD!$C$4:$C$100,'VENTILATION CHARGE'!B14,WORKLOAD!$I$4:$I$100)&lt;&gt;0,SUMIF(WORKLOAD!$C$4:$C$100,'VENTILATION CHARGE'!B14,WORKLOAD!$I$4:$I$100),"")</f>
        <v>1</v>
      </c>
      <c r="E14" s="101">
        <f>IF(SUMIF(WORKLOAD!$C$4:$C$100,'VENTILATION CHARGE'!B14,WORKLOAD!$J$4:$J$100)&lt;&gt;0,SUMIF(WORKLOAD!$C$4:$C$100,'VENTILATION CHARGE'!B14,WORKLOAD!$J$4:$J$100),"")</f>
        <v>1</v>
      </c>
      <c r="F14" s="101">
        <f>IF(SUMIF(WORKLOAD!$C$4:$C$100,'VENTILATION CHARGE'!B14,WORKLOAD!$K$4:$K$100)&lt;&gt;0,SUMIF(WORKLOAD!$C$4:$C$100,'VENTILATION CHARGE'!B14,WORKLOAD!$K$4:$K$100),"")</f>
        <v>1.5</v>
      </c>
      <c r="G14" s="101" t="str">
        <f>IF(SUMIF(WORKLOAD!$C$4:$C$100,'VENTILATION CHARGE'!B14,WORKLOAD!$L$4:$L$100)&lt;&gt;0,SUMIF(WORKLOAD!$C$4:$C$100,'VENTILATION CHARGE'!B14,WORKLOAD!$L$4:$L$100),"")</f>
        <v/>
      </c>
      <c r="H14" s="101" t="str">
        <f>IF(SUMIF(WORKLOAD!$C$4:$C$100,'VENTILATION CHARGE'!B14,WORKLOAD!$M$4:$M$100)&lt;&gt;0,SUMIF(WORKLOAD!$C$4:$C$100,'VENTILATION CHARGE'!B14,WORKLOAD!$M$4:$M$100),"")</f>
        <v/>
      </c>
      <c r="I14" s="101" t="str">
        <f>IF(SUMIF(WORKLOAD!$C$4:$C$100,'VENTILATION CHARGE'!B14,WORKLOAD!$N$4:$N$100)&lt;&gt;0,SUMIF(WORKLOAD!$C$4:$C$100,'VENTILATION CHARGE'!B14,WORKLOAD!$N$4:$N$100),"")</f>
        <v/>
      </c>
      <c r="K14" s="99">
        <f t="shared" si="0"/>
        <v>4</v>
      </c>
      <c r="M14" s="27">
        <f>IFERROR(K55/K14,"")</f>
        <v>756.25</v>
      </c>
    </row>
    <row r="15" spans="1:13" ht="6.75" customHeight="1">
      <c r="K15" s="97"/>
      <c r="M15" s="96"/>
    </row>
    <row r="16" spans="1:13">
      <c r="B16" s="25" t="s">
        <v>295</v>
      </c>
      <c r="C16" s="144">
        <f t="shared" ref="C16:I16" si="3">IF(SUM(C7:C14)&lt;&gt;0,SUM(C7:C14),"")</f>
        <v>21.5</v>
      </c>
      <c r="D16" s="144">
        <f t="shared" si="3"/>
        <v>10.5</v>
      </c>
      <c r="E16" s="144">
        <f t="shared" si="3"/>
        <v>29.5</v>
      </c>
      <c r="F16" s="144">
        <f t="shared" si="3"/>
        <v>37.5</v>
      </c>
      <c r="G16" s="144">
        <f t="shared" si="3"/>
        <v>5</v>
      </c>
      <c r="H16" s="144" t="str">
        <f t="shared" si="3"/>
        <v/>
      </c>
      <c r="I16" s="144" t="str">
        <f t="shared" si="3"/>
        <v/>
      </c>
      <c r="J16" s="98"/>
      <c r="K16" s="99">
        <f>SUM(K7:K14)</f>
        <v>104</v>
      </c>
      <c r="M16" s="95">
        <f>IFERROR(K57/K16,"")</f>
        <v>744.47115384615381</v>
      </c>
    </row>
    <row r="17" spans="2:11" ht="5.25" customHeight="1"/>
    <row r="18" spans="2:11">
      <c r="B18" s="25" t="s">
        <v>296</v>
      </c>
      <c r="C18" s="27">
        <f>C57</f>
        <v>16125</v>
      </c>
      <c r="D18" s="27">
        <f t="shared" ref="D18:K18" si="4">D57</f>
        <v>8925</v>
      </c>
      <c r="E18" s="27">
        <f t="shared" si="4"/>
        <v>22125</v>
      </c>
      <c r="F18" s="27">
        <f t="shared" si="4"/>
        <v>26250</v>
      </c>
      <c r="G18" s="27">
        <f t="shared" si="4"/>
        <v>4000</v>
      </c>
      <c r="H18" s="27" t="str">
        <f t="shared" si="4"/>
        <v/>
      </c>
      <c r="I18" s="27" t="str">
        <f t="shared" si="4"/>
        <v/>
      </c>
      <c r="K18" s="95">
        <f t="shared" si="4"/>
        <v>77425</v>
      </c>
    </row>
    <row r="20" spans="2:11" ht="12.75" customHeight="1">
      <c r="B20" s="92" t="s">
        <v>297</v>
      </c>
    </row>
    <row r="21" spans="2:11" hidden="1"/>
    <row r="22" spans="2:11" hidden="1"/>
    <row r="23" spans="2:11" ht="71.099999999999994">
      <c r="B23" s="102" t="s">
        <v>298</v>
      </c>
      <c r="C23" s="88" t="str">
        <f>WORKLOAD!H4</f>
        <v>Chef de Projet</v>
      </c>
      <c r="D23" s="88" t="str">
        <f>WORKLOAD!I4</f>
        <v>Architecte</v>
      </c>
      <c r="E23" s="88" t="str">
        <f>WORKLOAD!J4</f>
        <v>Consultant Technique</v>
      </c>
      <c r="F23" s="88" t="str">
        <f>WORKLOAD!K4</f>
        <v>Consultant Change</v>
      </c>
      <c r="G23" s="88" t="str">
        <f>WORKLOAD!L4</f>
        <v>Consultant Data</v>
      </c>
      <c r="H23" s="88">
        <f>WORKLOAD!M4</f>
        <v>0</v>
      </c>
      <c r="I23" s="88">
        <f>WORKLOAD!N4</f>
        <v>0</v>
      </c>
      <c r="J23" s="91"/>
      <c r="K23" s="89" t="s">
        <v>295</v>
      </c>
    </row>
    <row r="24" spans="2:11">
      <c r="B24" s="94" t="str">
        <f>REF!D5</f>
        <v>Pilotage projet</v>
      </c>
      <c r="C24" s="101">
        <f>IF(SUMIF(WORKLOAD!$D$4:$D$100,B24,WORKLOAD!$H$4:$H$100)&lt;&gt;0,SUMIF(WORKLOAD!$D$4:$D$100,B24,WORKLOAD!$H$4:$H$100),"")</f>
        <v>20.5</v>
      </c>
      <c r="D24" s="101">
        <f>IF(SUMIF(WORKLOAD!$D$4:$D$100,'VENTILATION CHARGE'!B24,WORKLOAD!$I$4:$I$100)&lt;&gt;0,SUMIF(WORKLOAD!$D$4:$D$100,'VENTILATION CHARGE'!B24,WORKLOAD!$I$4:$I$100),"")</f>
        <v>0.5</v>
      </c>
      <c r="E24" s="101" t="str">
        <f>IF(SUMIF(WORKLOAD!$D$4:$D$100,B24,WORKLOAD!$J$4:$J$100)&lt;&gt;0,SUMIF(WORKLOAD!$D$4:$D$100,B24,WORKLOAD!$J$4:$J$100),"")</f>
        <v/>
      </c>
      <c r="F24" s="101">
        <f>IF(SUMIF(WORKLOAD!$D$4:$D$100,B24,WORKLOAD!$K$4:$K$100)&lt;&gt;0,SUMIF(WORKLOAD!$D$4:$D$100,B24,WORKLOAD!$K$4:$K$100),"")</f>
        <v>1</v>
      </c>
      <c r="G24" s="101" t="str">
        <f>IF(SUMIF(WORKLOAD!$D$4:$D$100,B24,WORKLOAD!$L$4:$L$100)&lt;&gt;0,SUMIF(WORKLOAD!$D$4:$D$100,B24,WORKLOAD!$L$4:$L$100),"")</f>
        <v/>
      </c>
      <c r="H24" s="101" t="str">
        <f>IF(SUMIF(WORKLOAD!$D$4:$D$100,B24,WORKLOAD!$M$4:$M$100)&lt;&gt;0,SUMIF(WORKLOAD!$D$4:$D$100,B24,WORKLOAD!$M$4:$M$100),"")</f>
        <v/>
      </c>
      <c r="I24" s="101" t="str">
        <f>IF(SUMIF(WORKLOAD!$D$4:$D$100,B24,WORKLOAD!$N$4:$N$100)&lt;&gt;0,SUMIF(WORKLOAD!$D$4:$D$100,B24,WORKLOAD!$N$4:$N$100),"")</f>
        <v/>
      </c>
      <c r="K24" s="99">
        <f>IF(SUM(C24:I24)&lt;&gt;0,SUM(C24:I24),"")</f>
        <v>22</v>
      </c>
    </row>
    <row r="25" spans="2:11">
      <c r="B25" s="94" t="str">
        <f>REF!D6</f>
        <v>Analyse de l'existant</v>
      </c>
      <c r="C25" s="101" t="str">
        <f>IF(SUMIF(WORKLOAD!$D$4:$D$100,B25,WORKLOAD!$H$4:$H$100)&lt;&gt;0,SUMIF(WORKLOAD!$D$4:$D$100,B25,WORKLOAD!$H$4:$H$100),"")</f>
        <v/>
      </c>
      <c r="D25" s="101" t="str">
        <f>IF(SUMIF(WORKLOAD!$D$4:$D$100,'VENTILATION CHARGE'!B25,WORKLOAD!$I$4:$I$100)&lt;&gt;0,SUMIF(WORKLOAD!$D$4:$D$100,'VENTILATION CHARGE'!B25,WORKLOAD!$I$4:$I$100),"")</f>
        <v/>
      </c>
      <c r="E25" s="101" t="str">
        <f>IF(SUMIF(WORKLOAD!$D$4:$D$100,B25,WORKLOAD!$J$4:$J$100)&lt;&gt;0,SUMIF(WORKLOAD!$D$4:$D$100,B25,WORKLOAD!$J$4:$J$100),"")</f>
        <v/>
      </c>
      <c r="F25" s="101" t="str">
        <f>IF(SUMIF(WORKLOAD!$D$4:$D$100,B25,WORKLOAD!$K$4:$K$100)&lt;&gt;0,SUMIF(WORKLOAD!$D$4:$D$100,B25,WORKLOAD!$K$4:$K$100),"")</f>
        <v/>
      </c>
      <c r="G25" s="101" t="str">
        <f>IF(SUMIF(WORKLOAD!$D$4:$D$100,B25,WORKLOAD!$L$4:$L$100)&lt;&gt;0,SUMIF(WORKLOAD!$D$4:$D$100,B25,WORKLOAD!$L$4:$L$100),"")</f>
        <v/>
      </c>
      <c r="H25" s="101" t="str">
        <f>IF(SUMIF(WORKLOAD!$D$4:$D$100,B25,WORKLOAD!$M$4:$M$100)&lt;&gt;0,SUMIF(WORKLOAD!$D$4:$D$100,B25,WORKLOAD!$M$4:$M$100),"")</f>
        <v/>
      </c>
      <c r="I25" s="101" t="str">
        <f>IF(SUMIF(WORKLOAD!$D$4:$D$100,B25,WORKLOAD!$N$4:$N$100)&lt;&gt;0,SUMIF(WORKLOAD!$D$4:$D$100,B25,WORKLOAD!$N$4:$N$100),"")</f>
        <v/>
      </c>
      <c r="K25" s="99" t="str">
        <f t="shared" ref="K25" si="5">IF(SUM(C25:I25)&lt;&gt;0,SUM(C25:I25),"")</f>
        <v/>
      </c>
    </row>
    <row r="26" spans="2:11">
      <c r="B26" s="94" t="str">
        <f>REF!D7</f>
        <v>Conception générale</v>
      </c>
      <c r="C26" s="101" t="str">
        <f>IF(SUMIF(WORKLOAD!$D$4:$D$100,B26,WORKLOAD!$H$4:$H$100)&lt;&gt;0,SUMIF(WORKLOAD!$D$4:$D$100,B26,WORKLOAD!$H$4:$H$100),"")</f>
        <v/>
      </c>
      <c r="D26" s="101">
        <f>IF(SUMIF(WORKLOAD!$D$4:$D$100,'VENTILATION CHARGE'!B26,WORKLOAD!$I$4:$I$100)&lt;&gt;0,SUMIF(WORKLOAD!$D$4:$D$100,'VENTILATION CHARGE'!B26,WORKLOAD!$I$4:$I$100),"")</f>
        <v>1</v>
      </c>
      <c r="E26" s="101">
        <f>IF(SUMIF(WORKLOAD!$D$4:$D$100,B26,WORKLOAD!$J$4:$J$100)&lt;&gt;0,SUMIF(WORKLOAD!$D$4:$D$100,B26,WORKLOAD!$J$4:$J$100),"")</f>
        <v>0.5</v>
      </c>
      <c r="F26" s="101" t="str">
        <f>IF(SUMIF(WORKLOAD!$D$4:$D$100,B26,WORKLOAD!$K$4:$K$100)&lt;&gt;0,SUMIF(WORKLOAD!$D$4:$D$100,B26,WORKLOAD!$K$4:$K$100),"")</f>
        <v/>
      </c>
      <c r="G26" s="101" t="str">
        <f>IF(SUMIF(WORKLOAD!$D$4:$D$100,B26,WORKLOAD!$L$4:$L$100)&lt;&gt;0,SUMIF(WORKLOAD!$D$4:$D$100,B26,WORKLOAD!$L$4:$L$100),"")</f>
        <v/>
      </c>
      <c r="H26" s="101" t="str">
        <f>IF(SUMIF(WORKLOAD!$D$4:$D$100,B26,WORKLOAD!$M$4:$M$100)&lt;&gt;0,SUMIF(WORKLOAD!$D$4:$D$100,B26,WORKLOAD!$M$4:$M$100),"")</f>
        <v/>
      </c>
      <c r="I26" s="101" t="str">
        <f>IF(SUMIF(WORKLOAD!$D$4:$D$100,B26,WORKLOAD!$N$4:$N$100)&lt;&gt;0,SUMIF(WORKLOAD!$D$4:$D$100,B26,WORKLOAD!$N$4:$N$100),"")</f>
        <v/>
      </c>
      <c r="K26" s="99">
        <f t="shared" ref="K26:K42" si="6">IF(SUM(C26:I26)&lt;&gt;0,SUM(C26:I26),"")</f>
        <v>1.5</v>
      </c>
    </row>
    <row r="27" spans="2:11">
      <c r="B27" s="94" t="str">
        <f>REF!D8</f>
        <v>Conception technique détaillée</v>
      </c>
      <c r="C27" s="101" t="str">
        <f>IF(SUMIF(WORKLOAD!$D$4:$D$100,B27,WORKLOAD!$H$4:$H$100)&lt;&gt;0,SUMIF(WORKLOAD!$D$4:$D$100,B27,WORKLOAD!$H$4:$H$100),"")</f>
        <v/>
      </c>
      <c r="D27" s="101" t="str">
        <f>IF(SUMIF(WORKLOAD!$D$4:$D$100,'VENTILATION CHARGE'!B27,WORKLOAD!$I$4:$I$100)&lt;&gt;0,SUMIF(WORKLOAD!$D$4:$D$100,'VENTILATION CHARGE'!B27,WORKLOAD!$I$4:$I$100),"")</f>
        <v/>
      </c>
      <c r="E27" s="101" t="str">
        <f>IF(SUMIF(WORKLOAD!$D$4:$D$100,B27,WORKLOAD!$J$4:$J$100)&lt;&gt;0,SUMIF(WORKLOAD!$D$4:$D$100,B27,WORKLOAD!$J$4:$J$100),"")</f>
        <v/>
      </c>
      <c r="F27" s="101" t="str">
        <f>IF(SUMIF(WORKLOAD!$D$4:$D$100,B27,WORKLOAD!$K$4:$K$100)&lt;&gt;0,SUMIF(WORKLOAD!$D$4:$D$100,B27,WORKLOAD!$K$4:$K$100),"")</f>
        <v/>
      </c>
      <c r="G27" s="101" t="str">
        <f>IF(SUMIF(WORKLOAD!$D$4:$D$100,B27,WORKLOAD!$L$4:$L$100)&lt;&gt;0,SUMIF(WORKLOAD!$D$4:$D$100,B27,WORKLOAD!$L$4:$L$100),"")</f>
        <v/>
      </c>
      <c r="H27" s="101" t="str">
        <f>IF(SUMIF(WORKLOAD!$D$4:$D$100,B27,WORKLOAD!$M$4:$M$100)&lt;&gt;0,SUMIF(WORKLOAD!$D$4:$D$100,B27,WORKLOAD!$M$4:$M$100),"")</f>
        <v/>
      </c>
      <c r="I27" s="101" t="str">
        <f>IF(SUMIF(WORKLOAD!$D$4:$D$100,B27,WORKLOAD!$N$4:$N$100)&lt;&gt;0,SUMIF(WORKLOAD!$D$4:$D$100,B27,WORKLOAD!$N$4:$N$100),"")</f>
        <v/>
      </c>
      <c r="K27" s="99" t="str">
        <f t="shared" si="6"/>
        <v/>
      </c>
    </row>
    <row r="28" spans="2:11">
      <c r="B28" s="94" t="str">
        <f>REF!D9</f>
        <v>Conception fonctionnelle détaillée</v>
      </c>
      <c r="C28" s="101" t="str">
        <f>IF(SUMIF(WORKLOAD!$D$4:$D$100,B28,WORKLOAD!$H$4:$H$100)&lt;&gt;0,SUMIF(WORKLOAD!$D$4:$D$100,B28,WORKLOAD!$H$4:$H$100),"")</f>
        <v/>
      </c>
      <c r="D28" s="101">
        <f>IF(SUMIF(WORKLOAD!$D$4:$D$100,'VENTILATION CHARGE'!B28,WORKLOAD!$I$4:$I$100)&lt;&gt;0,SUMIF(WORKLOAD!$D$4:$D$100,'VENTILATION CHARGE'!B28,WORKLOAD!$I$4:$I$100),"")</f>
        <v>3</v>
      </c>
      <c r="E28" s="101">
        <f>IF(SUMIF(WORKLOAD!$D$4:$D$100,B28,WORKLOAD!$J$4:$J$100)&lt;&gt;0,SUMIF(WORKLOAD!$D$4:$D$100,B28,WORKLOAD!$J$4:$J$100),"")</f>
        <v>1</v>
      </c>
      <c r="F28" s="101" t="str">
        <f>IF(SUMIF(WORKLOAD!$D$4:$D$100,B28,WORKLOAD!$K$4:$K$100)&lt;&gt;0,SUMIF(WORKLOAD!$D$4:$D$100,B28,WORKLOAD!$K$4:$K$100),"")</f>
        <v/>
      </c>
      <c r="G28" s="101" t="str">
        <f>IF(SUMIF(WORKLOAD!$D$4:$D$100,B28,WORKLOAD!$L$4:$L$100)&lt;&gt;0,SUMIF(WORKLOAD!$D$4:$D$100,B28,WORKLOAD!$L$4:$L$100),"")</f>
        <v/>
      </c>
      <c r="H28" s="101" t="str">
        <f>IF(SUMIF(WORKLOAD!$D$4:$D$100,B28,WORKLOAD!$M$4:$M$100)&lt;&gt;0,SUMIF(WORKLOAD!$D$4:$D$100,B28,WORKLOAD!$M$4:$M$100),"")</f>
        <v/>
      </c>
      <c r="I28" s="101" t="str">
        <f>IF(SUMIF(WORKLOAD!$D$4:$D$100,B28,WORKLOAD!$N$4:$N$100)&lt;&gt;0,SUMIF(WORKLOAD!$D$4:$D$100,B28,WORKLOAD!$N$4:$N$100),"")</f>
        <v/>
      </c>
      <c r="K28" s="99">
        <f t="shared" si="6"/>
        <v>4</v>
      </c>
    </row>
    <row r="29" spans="2:11">
      <c r="B29" s="94" t="str">
        <f>REF!D10</f>
        <v>Ergonomie/Graphisme</v>
      </c>
      <c r="C29" s="101" t="str">
        <f>IF(SUMIF(WORKLOAD!$D$4:$D$100,B29,WORKLOAD!$H$4:$H$100)&lt;&gt;0,SUMIF(WORKLOAD!$D$4:$D$100,B29,WORKLOAD!$H$4:$H$100),"")</f>
        <v/>
      </c>
      <c r="D29" s="101" t="str">
        <f>IF(SUMIF(WORKLOAD!$D$4:$D$100,'VENTILATION CHARGE'!B29,WORKLOAD!$I$4:$I$100)&lt;&gt;0,SUMIF(WORKLOAD!$D$4:$D$100,'VENTILATION CHARGE'!B29,WORKLOAD!$I$4:$I$100),"")</f>
        <v/>
      </c>
      <c r="E29" s="101" t="str">
        <f>IF(SUMIF(WORKLOAD!$D$4:$D$100,B29,WORKLOAD!$J$4:$J$100)&lt;&gt;0,SUMIF(WORKLOAD!$D$4:$D$100,B29,WORKLOAD!$J$4:$J$100),"")</f>
        <v/>
      </c>
      <c r="F29" s="101" t="str">
        <f>IF(SUMIF(WORKLOAD!$D$4:$D$100,B29,WORKLOAD!$K$4:$K$100)&lt;&gt;0,SUMIF(WORKLOAD!$D$4:$D$100,B29,WORKLOAD!$K$4:$K$100),"")</f>
        <v/>
      </c>
      <c r="G29" s="101" t="str">
        <f>IF(SUMIF(WORKLOAD!$D$4:$D$100,B29,WORKLOAD!$L$4:$L$100)&lt;&gt;0,SUMIF(WORKLOAD!$D$4:$D$100,B29,WORKLOAD!$L$4:$L$100),"")</f>
        <v/>
      </c>
      <c r="H29" s="101" t="str">
        <f>IF(SUMIF(WORKLOAD!$D$4:$D$100,B29,WORKLOAD!$M$4:$M$100)&lt;&gt;0,SUMIF(WORKLOAD!$D$4:$D$100,B29,WORKLOAD!$M$4:$M$100),"")</f>
        <v/>
      </c>
      <c r="I29" s="101" t="str">
        <f>IF(SUMIF(WORKLOAD!$D$4:$D$100,B29,WORKLOAD!$N$4:$N$100)&lt;&gt;0,SUMIF(WORKLOAD!$D$4:$D$100,B29,WORKLOAD!$N$4:$N$100),"")</f>
        <v/>
      </c>
      <c r="K29" s="99" t="str">
        <f t="shared" si="6"/>
        <v/>
      </c>
    </row>
    <row r="30" spans="2:11">
      <c r="B30" s="94" t="str">
        <f>REF!D11</f>
        <v>Cahier de recette</v>
      </c>
      <c r="C30" s="101" t="str">
        <f>IF(SUMIF(WORKLOAD!$D$4:$D$100,B30,WORKLOAD!$H$4:$H$100)&lt;&gt;0,SUMIF(WORKLOAD!$D$4:$D$100,B30,WORKLOAD!$H$4:$H$100),"")</f>
        <v/>
      </c>
      <c r="D30" s="101" t="str">
        <f>IF(SUMIF(WORKLOAD!$D$4:$D$100,'VENTILATION CHARGE'!B30,WORKLOAD!$I$4:$I$100)&lt;&gt;0,SUMIF(WORKLOAD!$D$4:$D$100,'VENTILATION CHARGE'!B30,WORKLOAD!$I$4:$I$100),"")</f>
        <v/>
      </c>
      <c r="E30" s="101" t="str">
        <f>IF(SUMIF(WORKLOAD!$D$4:$D$100,B30,WORKLOAD!$J$4:$J$100)&lt;&gt;0,SUMIF(WORKLOAD!$D$4:$D$100,B30,WORKLOAD!$J$4:$J$100),"")</f>
        <v/>
      </c>
      <c r="F30" s="101" t="str">
        <f>IF(SUMIF(WORKLOAD!$D$4:$D$100,B30,WORKLOAD!$K$4:$K$100)&lt;&gt;0,SUMIF(WORKLOAD!$D$4:$D$100,B30,WORKLOAD!$K$4:$K$100),"")</f>
        <v/>
      </c>
      <c r="G30" s="101" t="str">
        <f>IF(SUMIF(WORKLOAD!$D$4:$D$100,B30,WORKLOAD!$L$4:$L$100)&lt;&gt;0,SUMIF(WORKLOAD!$D$4:$D$100,B30,WORKLOAD!$L$4:$L$100),"")</f>
        <v/>
      </c>
      <c r="H30" s="101" t="str">
        <f>IF(SUMIF(WORKLOAD!$D$4:$D$100,B30,WORKLOAD!$M$4:$M$100)&lt;&gt;0,SUMIF(WORKLOAD!$D$4:$D$100,B30,WORKLOAD!$M$4:$M$100),"")</f>
        <v/>
      </c>
      <c r="I30" s="101" t="str">
        <f>IF(SUMIF(WORKLOAD!$D$4:$D$100,B30,WORKLOAD!$N$4:$N$100)&lt;&gt;0,SUMIF(WORKLOAD!$D$4:$D$100,B30,WORKLOAD!$N$4:$N$100),"")</f>
        <v/>
      </c>
      <c r="K30" s="99" t="str">
        <f t="shared" si="6"/>
        <v/>
      </c>
    </row>
    <row r="31" spans="2:11">
      <c r="B31" s="94" t="str">
        <f>REF!D12</f>
        <v>Développement et tests unitaires</v>
      </c>
      <c r="C31" s="101" t="str">
        <f>IF(SUMIF(WORKLOAD!$D$4:$D$100,B31,WORKLOAD!$H$4:$H$100)&lt;&gt;0,SUMIF(WORKLOAD!$D$4:$D$100,B31,WORKLOAD!$H$4:$H$100),"")</f>
        <v/>
      </c>
      <c r="D31" s="101" t="str">
        <f>IF(SUMIF(WORKLOAD!$D$4:$D$100,'VENTILATION CHARGE'!B31,WORKLOAD!$I$4:$I$100)&lt;&gt;0,SUMIF(WORKLOAD!$D$4:$D$100,'VENTILATION CHARGE'!B31,WORKLOAD!$I$4:$I$100),"")</f>
        <v/>
      </c>
      <c r="E31" s="101">
        <f>IF(SUMIF(WORKLOAD!$D$4:$D$100,B31,WORKLOAD!$J$4:$J$100)&lt;&gt;0,SUMIF(WORKLOAD!$D$4:$D$100,B31,WORKLOAD!$J$4:$J$100),"")</f>
        <v>7.5</v>
      </c>
      <c r="F31" s="101" t="str">
        <f>IF(SUMIF(WORKLOAD!$D$4:$D$100,B31,WORKLOAD!$K$4:$K$100)&lt;&gt;0,SUMIF(WORKLOAD!$D$4:$D$100,B31,WORKLOAD!$K$4:$K$100),"")</f>
        <v/>
      </c>
      <c r="G31" s="101" t="str">
        <f>IF(SUMIF(WORKLOAD!$D$4:$D$100,B31,WORKLOAD!$L$4:$L$100)&lt;&gt;0,SUMIF(WORKLOAD!$D$4:$D$100,B31,WORKLOAD!$L$4:$L$100),"")</f>
        <v/>
      </c>
      <c r="H31" s="101" t="str">
        <f>IF(SUMIF(WORKLOAD!$D$4:$D$100,B31,WORKLOAD!$M$4:$M$100)&lt;&gt;0,SUMIF(WORKLOAD!$D$4:$D$100,B31,WORKLOAD!$M$4:$M$100),"")</f>
        <v/>
      </c>
      <c r="I31" s="101" t="str">
        <f>IF(SUMIF(WORKLOAD!$D$4:$D$100,B31,WORKLOAD!$N$4:$N$100)&lt;&gt;0,SUMIF(WORKLOAD!$D$4:$D$100,B31,WORKLOAD!$N$4:$N$100),"")</f>
        <v/>
      </c>
      <c r="K31" s="99">
        <f t="shared" si="6"/>
        <v>7.5</v>
      </c>
    </row>
    <row r="32" spans="2:11">
      <c r="B32" s="94" t="str">
        <f>REF!D13</f>
        <v>Tests d'intégration / Recette interne</v>
      </c>
      <c r="C32" s="101" t="str">
        <f>IF(SUMIF(WORKLOAD!$D$4:$D$100,B32,WORKLOAD!$H$4:$H$100)&lt;&gt;0,SUMIF(WORKLOAD!$D$4:$D$100,B32,WORKLOAD!$H$4:$H$100),"")</f>
        <v/>
      </c>
      <c r="D32" s="101" t="str">
        <f>IF(SUMIF(WORKLOAD!$D$4:$D$100,'VENTILATION CHARGE'!B32,WORKLOAD!$I$4:$I$100)&lt;&gt;0,SUMIF(WORKLOAD!$D$4:$D$100,'VENTILATION CHARGE'!B32,WORKLOAD!$I$4:$I$100),"")</f>
        <v/>
      </c>
      <c r="E32" s="101" t="str">
        <f>IF(SUMIF(WORKLOAD!$D$4:$D$100,B32,WORKLOAD!$J$4:$J$100)&lt;&gt;0,SUMIF(WORKLOAD!$D$4:$D$100,B32,WORKLOAD!$J$4:$J$100),"")</f>
        <v/>
      </c>
      <c r="F32" s="101" t="str">
        <f>IF(SUMIF(WORKLOAD!$D$4:$D$100,B32,WORKLOAD!$K$4:$K$100)&lt;&gt;0,SUMIF(WORKLOAD!$D$4:$D$100,B32,WORKLOAD!$K$4:$K$100),"")</f>
        <v/>
      </c>
      <c r="G32" s="101" t="str">
        <f>IF(SUMIF(WORKLOAD!$D$4:$D$100,B32,WORKLOAD!$L$4:$L$100)&lt;&gt;0,SUMIF(WORKLOAD!$D$4:$D$100,B32,WORKLOAD!$L$4:$L$100),"")</f>
        <v/>
      </c>
      <c r="H32" s="101" t="str">
        <f>IF(SUMIF(WORKLOAD!$D$4:$D$100,B32,WORKLOAD!$M$4:$M$100)&lt;&gt;0,SUMIF(WORKLOAD!$D$4:$D$100,B32,WORKLOAD!$M$4:$M$100),"")</f>
        <v/>
      </c>
      <c r="I32" s="101" t="str">
        <f>IF(SUMIF(WORKLOAD!$D$4:$D$100,B32,WORKLOAD!$N$4:$N$100)&lt;&gt;0,SUMIF(WORKLOAD!$D$4:$D$100,B32,WORKLOAD!$N$4:$N$100),"")</f>
        <v/>
      </c>
      <c r="K32" s="99" t="str">
        <f t="shared" si="6"/>
        <v/>
      </c>
    </row>
    <row r="33" spans="2:11">
      <c r="B33" s="94" t="str">
        <f>REF!D14</f>
        <v>Livraison / installation / Mise en œuvre</v>
      </c>
      <c r="C33" s="101" t="str">
        <f>IF(SUMIF(WORKLOAD!$D$4:$D$100,B33,WORKLOAD!$H$4:$H$100)&lt;&gt;0,SUMIF(WORKLOAD!$D$4:$D$100,B33,WORKLOAD!$H$4:$H$100),"")</f>
        <v/>
      </c>
      <c r="D33" s="101" t="str">
        <f>IF(SUMIF(WORKLOAD!$D$4:$D$100,'VENTILATION CHARGE'!B33,WORKLOAD!$I$4:$I$100)&lt;&gt;0,SUMIF(WORKLOAD!$D$4:$D$100,'VENTILATION CHARGE'!B33,WORKLOAD!$I$4:$I$100),"")</f>
        <v/>
      </c>
      <c r="E33" s="101">
        <f>IF(SUMIF(WORKLOAD!$D$4:$D$100,B33,WORKLOAD!$J$4:$J$100)&lt;&gt;0,SUMIF(WORKLOAD!$D$4:$D$100,B33,WORKLOAD!$J$4:$J$100),"")</f>
        <v>3</v>
      </c>
      <c r="F33" s="101">
        <f>IF(SUMIF(WORKLOAD!$D$4:$D$100,B33,WORKLOAD!$K$4:$K$100)&lt;&gt;0,SUMIF(WORKLOAD!$D$4:$D$100,B33,WORKLOAD!$K$4:$K$100),"")</f>
        <v>3</v>
      </c>
      <c r="G33" s="101" t="str">
        <f>IF(SUMIF(WORKLOAD!$D$4:$D$100,B33,WORKLOAD!$L$4:$L$100)&lt;&gt;0,SUMIF(WORKLOAD!$D$4:$D$100,B33,WORKLOAD!$L$4:$L$100),"")</f>
        <v/>
      </c>
      <c r="H33" s="101" t="str">
        <f>IF(SUMIF(WORKLOAD!$D$4:$D$100,B33,WORKLOAD!$M$4:$M$100)&lt;&gt;0,SUMIF(WORKLOAD!$D$4:$D$100,B33,WORKLOAD!$M$4:$M$100),"")</f>
        <v/>
      </c>
      <c r="I33" s="101" t="str">
        <f>IF(SUMIF(WORKLOAD!$D$4:$D$100,B33,WORKLOAD!$N$4:$N$100)&lt;&gt;0,SUMIF(WORKLOAD!$D$4:$D$100,B33,WORKLOAD!$N$4:$N$100),"")</f>
        <v/>
      </c>
      <c r="K33" s="99">
        <f t="shared" si="6"/>
        <v>6</v>
      </c>
    </row>
    <row r="34" spans="2:11">
      <c r="B34" s="94" t="str">
        <f>REF!D15</f>
        <v>Pilote</v>
      </c>
      <c r="C34" s="101" t="str">
        <f>IF(SUMIF(WORKLOAD!$D$4:$D$100,B34,WORKLOAD!$H$4:$H$100)&lt;&gt;0,SUMIF(WORKLOAD!$D$4:$D$100,B34,WORKLOAD!$H$4:$H$100),"")</f>
        <v/>
      </c>
      <c r="D34" s="101" t="str">
        <f>IF(SUMIF(WORKLOAD!$D$4:$D$100,'VENTILATION CHARGE'!B34,WORKLOAD!$I$4:$I$100)&lt;&gt;0,SUMIF(WORKLOAD!$D$4:$D$100,'VENTILATION CHARGE'!B34,WORKLOAD!$I$4:$I$100),"")</f>
        <v/>
      </c>
      <c r="E34" s="101" t="str">
        <f>IF(SUMIF(WORKLOAD!$D$4:$D$100,B34,WORKLOAD!$J$4:$J$100)&lt;&gt;0,SUMIF(WORKLOAD!$D$4:$D$100,B34,WORKLOAD!$J$4:$J$100),"")</f>
        <v/>
      </c>
      <c r="F34" s="101" t="str">
        <f>IF(SUMIF(WORKLOAD!$D$4:$D$100,B34,WORKLOAD!$K$4:$K$100)&lt;&gt;0,SUMIF(WORKLOAD!$D$4:$D$100,B34,WORKLOAD!$K$4:$K$100),"")</f>
        <v/>
      </c>
      <c r="G34" s="101" t="str">
        <f>IF(SUMIF(WORKLOAD!$D$4:$D$100,B34,WORKLOAD!$L$4:$L$100)&lt;&gt;0,SUMIF(WORKLOAD!$D$4:$D$100,B34,WORKLOAD!$L$4:$L$100),"")</f>
        <v/>
      </c>
      <c r="H34" s="101" t="str">
        <f>IF(SUMIF(WORKLOAD!$D$4:$D$100,B34,WORKLOAD!$M$4:$M$100)&lt;&gt;0,SUMIF(WORKLOAD!$D$4:$D$100,B34,WORKLOAD!$M$4:$M$100),"")</f>
        <v/>
      </c>
      <c r="I34" s="101" t="str">
        <f>IF(SUMIF(WORKLOAD!$D$4:$D$100,B34,WORKLOAD!$N$4:$N$100)&lt;&gt;0,SUMIF(WORKLOAD!$D$4:$D$100,B34,WORKLOAD!$N$4:$N$100),"")</f>
        <v/>
      </c>
      <c r="K34" s="99" t="str">
        <f t="shared" ref="K34:K36" si="7">IF(SUM(C34:I34)&lt;&gt;0,SUM(C34:I34),"")</f>
        <v/>
      </c>
    </row>
    <row r="35" spans="2:11">
      <c r="B35" s="94" t="str">
        <f>REF!D16</f>
        <v>Généralisation</v>
      </c>
      <c r="C35" s="101" t="str">
        <f>IF(SUMIF(WORKLOAD!$D$4:$D$100,B35,WORKLOAD!$H$4:$H$100)&lt;&gt;0,SUMIF(WORKLOAD!$D$4:$D$100,B35,WORKLOAD!$H$4:$H$100),"")</f>
        <v/>
      </c>
      <c r="D35" s="101" t="str">
        <f>IF(SUMIF(WORKLOAD!$D$4:$D$100,'VENTILATION CHARGE'!B35,WORKLOAD!$I$4:$I$100)&lt;&gt;0,SUMIF(WORKLOAD!$D$4:$D$100,'VENTILATION CHARGE'!B35,WORKLOAD!$I$4:$I$100),"")</f>
        <v/>
      </c>
      <c r="E35" s="101" t="str">
        <f>IF(SUMIF(WORKLOAD!$D$4:$D$100,B35,WORKLOAD!$J$4:$J$100)&lt;&gt;0,SUMIF(WORKLOAD!$D$4:$D$100,B35,WORKLOAD!$J$4:$J$100),"")</f>
        <v/>
      </c>
      <c r="F35" s="101" t="str">
        <f>IF(SUMIF(WORKLOAD!$D$4:$D$100,B35,WORKLOAD!$K$4:$K$100)&lt;&gt;0,SUMIF(WORKLOAD!$D$4:$D$100,B35,WORKLOAD!$K$4:$K$100),"")</f>
        <v/>
      </c>
      <c r="G35" s="101" t="str">
        <f>IF(SUMIF(WORKLOAD!$D$4:$D$100,B35,WORKLOAD!$L$4:$L$100)&lt;&gt;0,SUMIF(WORKLOAD!$D$4:$D$100,B35,WORKLOAD!$L$4:$L$100),"")</f>
        <v/>
      </c>
      <c r="H35" s="101" t="str">
        <f>IF(SUMIF(WORKLOAD!$D$4:$D$100,B35,WORKLOAD!$M$4:$M$100)&lt;&gt;0,SUMIF(WORKLOAD!$D$4:$D$100,B35,WORKLOAD!$M$4:$M$100),"")</f>
        <v/>
      </c>
      <c r="I35" s="101" t="str">
        <f>IF(SUMIF(WORKLOAD!$D$4:$D$100,B35,WORKLOAD!$N$4:$N$100)&lt;&gt;0,SUMIF(WORKLOAD!$D$4:$D$100,B35,WORKLOAD!$N$4:$N$100),"")</f>
        <v/>
      </c>
      <c r="K35" s="99" t="str">
        <f t="shared" si="7"/>
        <v/>
      </c>
    </row>
    <row r="36" spans="2:11">
      <c r="B36" s="94" t="str">
        <f>REF!D17</f>
        <v>Support</v>
      </c>
      <c r="C36" s="101" t="str">
        <f>IF(SUMIF(WORKLOAD!$D$4:$D$100,B36,WORKLOAD!$H$4:$H$100)&lt;&gt;0,SUMIF(WORKLOAD!$D$4:$D$100,B36,WORKLOAD!$H$4:$H$100),"")</f>
        <v/>
      </c>
      <c r="D36" s="101">
        <f>IF(SUMIF(WORKLOAD!$D$4:$D$100,'VENTILATION CHARGE'!B36,WORKLOAD!$I$4:$I$100)&lt;&gt;0,SUMIF(WORKLOAD!$D$4:$D$100,'VENTILATION CHARGE'!B36,WORKLOAD!$I$4:$I$100),"")</f>
        <v>2</v>
      </c>
      <c r="E36" s="101">
        <f>IF(SUMIF(WORKLOAD!$D$4:$D$100,B36,WORKLOAD!$J$4:$J$100)&lt;&gt;0,SUMIF(WORKLOAD!$D$4:$D$100,B36,WORKLOAD!$J$4:$J$100),"")</f>
        <v>3</v>
      </c>
      <c r="F36" s="101">
        <f>IF(SUMIF(WORKLOAD!$D$4:$D$100,B36,WORKLOAD!$K$4:$K$100)&lt;&gt;0,SUMIF(WORKLOAD!$D$4:$D$100,B36,WORKLOAD!$K$4:$K$100),"")</f>
        <v>1</v>
      </c>
      <c r="G36" s="101" t="str">
        <f>IF(SUMIF(WORKLOAD!$D$4:$D$100,B36,WORKLOAD!$L$4:$L$100)&lt;&gt;0,SUMIF(WORKLOAD!$D$4:$D$100,B36,WORKLOAD!$L$4:$L$100),"")</f>
        <v/>
      </c>
      <c r="H36" s="101" t="str">
        <f>IF(SUMIF(WORKLOAD!$D$4:$D$100,B36,WORKLOAD!$M$4:$M$100)&lt;&gt;0,SUMIF(WORKLOAD!$D$4:$D$100,B36,WORKLOAD!$M$4:$M$100),"")</f>
        <v/>
      </c>
      <c r="I36" s="101" t="str">
        <f>IF(SUMIF(WORKLOAD!$D$4:$D$100,B36,WORKLOAD!$N$4:$N$100)&lt;&gt;0,SUMIF(WORKLOAD!$D$4:$D$100,B36,WORKLOAD!$N$4:$N$100),"")</f>
        <v/>
      </c>
      <c r="K36" s="99">
        <f t="shared" si="7"/>
        <v>6</v>
      </c>
    </row>
    <row r="37" spans="2:11">
      <c r="B37" s="94" t="str">
        <f>REF!D18</f>
        <v>Reprise de contenu</v>
      </c>
      <c r="C37" s="101" t="str">
        <f>IF(SUMIF(WORKLOAD!$D$4:$D$100,B37,WORKLOAD!$H$4:$H$100)&lt;&gt;0,SUMIF(WORKLOAD!$D$4:$D$100,B37,WORKLOAD!$H$4:$H$100),"")</f>
        <v/>
      </c>
      <c r="D37" s="101" t="str">
        <f>IF(SUMIF(WORKLOAD!$D$4:$D$100,'VENTILATION CHARGE'!B37,WORKLOAD!$I$4:$I$100)&lt;&gt;0,SUMIF(WORKLOAD!$D$4:$D$100,'VENTILATION CHARGE'!B37,WORKLOAD!$I$4:$I$100),"")</f>
        <v/>
      </c>
      <c r="E37" s="101" t="str">
        <f>IF(SUMIF(WORKLOAD!$D$4:$D$100,B37,WORKLOAD!$J$4:$J$100)&lt;&gt;0,SUMIF(WORKLOAD!$D$4:$D$100,B37,WORKLOAD!$J$4:$J$100),"")</f>
        <v/>
      </c>
      <c r="F37" s="101" t="str">
        <f>IF(SUMIF(WORKLOAD!$D$4:$D$100,B37,WORKLOAD!$K$4:$K$100)&lt;&gt;0,SUMIF(WORKLOAD!$D$4:$D$100,B37,WORKLOAD!$K$4:$K$100),"")</f>
        <v/>
      </c>
      <c r="G37" s="101" t="str">
        <f>IF(SUMIF(WORKLOAD!$D$4:$D$100,B37,WORKLOAD!$L$4:$L$100)&lt;&gt;0,SUMIF(WORKLOAD!$D$4:$D$100,B37,WORKLOAD!$L$4:$L$100),"")</f>
        <v/>
      </c>
      <c r="H37" s="101" t="str">
        <f>IF(SUMIF(WORKLOAD!$D$4:$D$100,B37,WORKLOAD!$M$4:$M$100)&lt;&gt;0,SUMIF(WORKLOAD!$D$4:$D$100,B37,WORKLOAD!$M$4:$M$100),"")</f>
        <v/>
      </c>
      <c r="I37" s="101" t="str">
        <f>IF(SUMIF(WORKLOAD!$D$4:$D$100,B37,WORKLOAD!$N$4:$N$100)&lt;&gt;0,SUMIF(WORKLOAD!$D$4:$D$100,B37,WORKLOAD!$N$4:$N$100),"")</f>
        <v/>
      </c>
      <c r="K37" s="99" t="str">
        <f t="shared" si="6"/>
        <v/>
      </c>
    </row>
    <row r="38" spans="2:11">
      <c r="B38" s="94" t="str">
        <f>REF!D19</f>
        <v xml:space="preserve">Assistance recette </v>
      </c>
      <c r="C38" s="101" t="str">
        <f>IF(SUMIF(WORKLOAD!$D$4:$D$100,B38,WORKLOAD!$H$4:$H$100)&lt;&gt;0,SUMIF(WORKLOAD!$D$4:$D$100,B38,WORKLOAD!$H$4:$H$100),"")</f>
        <v/>
      </c>
      <c r="D38" s="101" t="str">
        <f>IF(SUMIF(WORKLOAD!$D$4:$D$100,'VENTILATION CHARGE'!B38,WORKLOAD!$I$4:$I$100)&lt;&gt;0,SUMIF(WORKLOAD!$D$4:$D$100,'VENTILATION CHARGE'!B38,WORKLOAD!$I$4:$I$100),"")</f>
        <v/>
      </c>
      <c r="E38" s="101" t="str">
        <f>IF(SUMIF(WORKLOAD!$D$4:$D$100,B38,WORKLOAD!$J$4:$J$100)&lt;&gt;0,SUMIF(WORKLOAD!$D$4:$D$100,B38,WORKLOAD!$J$4:$J$100),"")</f>
        <v/>
      </c>
      <c r="F38" s="101" t="str">
        <f>IF(SUMIF(WORKLOAD!$D$4:$D$100,B38,WORKLOAD!$K$4:$K$100)&lt;&gt;0,SUMIF(WORKLOAD!$D$4:$D$100,B38,WORKLOAD!$K$4:$K$100),"")</f>
        <v/>
      </c>
      <c r="G38" s="101" t="str">
        <f>IF(SUMIF(WORKLOAD!$D$4:$D$100,B38,WORKLOAD!$L$4:$L$100)&lt;&gt;0,SUMIF(WORKLOAD!$D$4:$D$100,B38,WORKLOAD!$L$4:$L$100),"")</f>
        <v/>
      </c>
      <c r="H38" s="101" t="str">
        <f>IF(SUMIF(WORKLOAD!$D$4:$D$100,B38,WORKLOAD!$M$4:$M$100)&lt;&gt;0,SUMIF(WORKLOAD!$D$4:$D$100,B38,WORKLOAD!$M$4:$M$100),"")</f>
        <v/>
      </c>
      <c r="I38" s="101" t="str">
        <f>IF(SUMIF(WORKLOAD!$D$4:$D$100,B38,WORKLOAD!$N$4:$N$100)&lt;&gt;0,SUMIF(WORKLOAD!$D$4:$D$100,B38,WORKLOAD!$N$4:$N$100),"")</f>
        <v/>
      </c>
      <c r="K38" s="99" t="str">
        <f t="shared" si="6"/>
        <v/>
      </c>
    </row>
    <row r="39" spans="2:11">
      <c r="B39" s="94" t="str">
        <f>REF!D20</f>
        <v>Formation</v>
      </c>
      <c r="C39" s="101">
        <f>IF(SUMIF(WORKLOAD!$D$4:$D$100,B39,WORKLOAD!$H$4:$H$100)&lt;&gt;0,SUMIF(WORKLOAD!$D$4:$D$100,B39,WORKLOAD!$H$4:$H$100),"")</f>
        <v>0.5</v>
      </c>
      <c r="D39" s="101" t="str">
        <f>IF(SUMIF(WORKLOAD!$D$4:$D$100,'VENTILATION CHARGE'!B39,WORKLOAD!$I$4:$I$100)&lt;&gt;0,SUMIF(WORKLOAD!$D$4:$D$100,'VENTILATION CHARGE'!B39,WORKLOAD!$I$4:$I$100),"")</f>
        <v/>
      </c>
      <c r="E39" s="101">
        <f>IF(SUMIF(WORKLOAD!$D$4:$D$100,B39,WORKLOAD!$J$4:$J$100)&lt;&gt;0,SUMIF(WORKLOAD!$D$4:$D$100,B39,WORKLOAD!$J$4:$J$100),"")</f>
        <v>11.5</v>
      </c>
      <c r="F39" s="101">
        <f>IF(SUMIF(WORKLOAD!$D$4:$D$100,B39,WORKLOAD!$K$4:$K$100)&lt;&gt;0,SUMIF(WORKLOAD!$D$4:$D$100,B39,WORKLOAD!$K$4:$K$100),"")</f>
        <v>31</v>
      </c>
      <c r="G39" s="101">
        <f>IF(SUMIF(WORKLOAD!$D$4:$D$100,B39,WORKLOAD!$L$4:$L$100)&lt;&gt;0,SUMIF(WORKLOAD!$D$4:$D$100,B39,WORKLOAD!$L$4:$L$100),"")</f>
        <v>5</v>
      </c>
      <c r="H39" s="101" t="str">
        <f>IF(SUMIF(WORKLOAD!$D$4:$D$100,B39,WORKLOAD!$M$4:$M$100)&lt;&gt;0,SUMIF(WORKLOAD!$D$4:$D$100,B39,WORKLOAD!$M$4:$M$100),"")</f>
        <v/>
      </c>
      <c r="I39" s="101" t="str">
        <f>IF(SUMIF(WORKLOAD!$D$4:$D$100,B39,WORKLOAD!$N$4:$N$100)&lt;&gt;0,SUMIF(WORKLOAD!$D$4:$D$100,B39,WORKLOAD!$N$4:$N$100),"")</f>
        <v/>
      </c>
      <c r="K39" s="99">
        <f t="shared" si="6"/>
        <v>48</v>
      </c>
    </row>
    <row r="40" spans="2:11">
      <c r="B40" s="94" t="str">
        <f>REF!D21</f>
        <v>Garantie (suite recette - 3 mois)</v>
      </c>
      <c r="C40" s="101" t="str">
        <f>IF(SUMIF(WORKLOAD!$D$4:$D$100,B40,WORKLOAD!$H$4:$H$100)&lt;&gt;0,SUMIF(WORKLOAD!$D$4:$D$100,B40,WORKLOAD!$H$4:$H$100),"")</f>
        <v/>
      </c>
      <c r="D40" s="101" t="str">
        <f>IF(SUMIF(WORKLOAD!$D$4:$D$100,'VENTILATION CHARGE'!B40,WORKLOAD!$I$4:$I$100)&lt;&gt;0,SUMIF(WORKLOAD!$D$4:$D$100,'VENTILATION CHARGE'!B40,WORKLOAD!$I$4:$I$100),"")</f>
        <v/>
      </c>
      <c r="E40" s="101" t="str">
        <f>IF(SUMIF(WORKLOAD!$D$4:$D$100,B40,WORKLOAD!$J$4:$J$100)&lt;&gt;0,SUMIF(WORKLOAD!$D$4:$D$100,B40,WORKLOAD!$J$4:$J$100),"")</f>
        <v/>
      </c>
      <c r="F40" s="101" t="str">
        <f>IF(SUMIF(WORKLOAD!$D$4:$D$100,B40,WORKLOAD!$K$4:$K$100)&lt;&gt;0,SUMIF(WORKLOAD!$D$4:$D$100,B40,WORKLOAD!$K$4:$K$100),"")</f>
        <v/>
      </c>
      <c r="G40" s="101" t="str">
        <f>IF(SUMIF(WORKLOAD!$D$4:$D$100,B40,WORKLOAD!$L$4:$L$100)&lt;&gt;0,SUMIF(WORKLOAD!$D$4:$D$100,B40,WORKLOAD!$L$4:$L$100),"")</f>
        <v/>
      </c>
      <c r="H40" s="101" t="str">
        <f>IF(SUMIF(WORKLOAD!$D$4:$D$100,B40,WORKLOAD!$M$4:$M$100)&lt;&gt;0,SUMIF(WORKLOAD!$D$4:$D$100,B40,WORKLOAD!$M$4:$M$100),"")</f>
        <v/>
      </c>
      <c r="I40" s="101" t="str">
        <f>IF(SUMIF(WORKLOAD!$D$4:$D$100,B40,WORKLOAD!$N$4:$N$100)&lt;&gt;0,SUMIF(WORKLOAD!$D$4:$D$100,B40,WORKLOAD!$N$4:$N$100),"")</f>
        <v/>
      </c>
      <c r="K40" s="99" t="str">
        <f t="shared" ref="K40" si="8">IF(SUM(C40:I40)&lt;&gt;0,SUM(C40:I40),"")</f>
        <v/>
      </c>
    </row>
    <row r="41" spans="2:11">
      <c r="B41" s="94" t="str">
        <f>REF!D22</f>
        <v xml:space="preserve">Provision pour risque </v>
      </c>
      <c r="C41" s="101" t="str">
        <f>IF(SUMIF(WORKLOAD!$D$4:$D$100,B41,WORKLOAD!$H$4:$H$100)&lt;&gt;0,SUMIF(WORKLOAD!$D$4:$D$100,B41,WORKLOAD!$H$4:$H$100),"")</f>
        <v/>
      </c>
      <c r="D41" s="101" t="str">
        <f>IF(SUMIF(WORKLOAD!$D$4:$D$100,'VENTILATION CHARGE'!B41,WORKLOAD!$I$4:$I$100)&lt;&gt;0,SUMIF(WORKLOAD!$D$4:$D$100,'VENTILATION CHARGE'!B41,WORKLOAD!$I$4:$I$100),"")</f>
        <v/>
      </c>
      <c r="E41" s="101" t="str">
        <f>IF(SUMIF(WORKLOAD!$D$4:$D$100,B41,WORKLOAD!$J$4:$J$100)&lt;&gt;0,SUMIF(WORKLOAD!$D$4:$D$100,B41,WORKLOAD!$J$4:$J$100),"")</f>
        <v/>
      </c>
      <c r="F41" s="101" t="str">
        <f>IF(SUMIF(WORKLOAD!$D$4:$D$100,B41,WORKLOAD!$K$4:$K$100)&lt;&gt;0,SUMIF(WORKLOAD!$D$4:$D$100,B41,WORKLOAD!$K$4:$K$100),"")</f>
        <v/>
      </c>
      <c r="G41" s="101" t="str">
        <f>IF(SUMIF(WORKLOAD!$D$4:$D$100,B41,WORKLOAD!$L$4:$L$100)&lt;&gt;0,SUMIF(WORKLOAD!$D$4:$D$100,B41,WORKLOAD!$L$4:$L$100),"")</f>
        <v/>
      </c>
      <c r="H41" s="101" t="str">
        <f>IF(SUMIF(WORKLOAD!$D$4:$D$100,B41,WORKLOAD!$M$4:$M$100)&lt;&gt;0,SUMIF(WORKLOAD!$D$4:$D$100,B41,WORKLOAD!$M$4:$M$100),"")</f>
        <v/>
      </c>
      <c r="I41" s="101" t="str">
        <f>IF(SUMIF(WORKLOAD!$D$4:$D$100,B41,WORKLOAD!$N$4:$N$100)&lt;&gt;0,SUMIF(WORKLOAD!$D$4:$D$100,B41,WORKLOAD!$N$4:$N$100),"")</f>
        <v/>
      </c>
      <c r="K41" s="99" t="str">
        <f t="shared" si="6"/>
        <v/>
      </c>
    </row>
    <row r="42" spans="2:11">
      <c r="B42" s="94" t="str">
        <f>REF!D23</f>
        <v>Hors abaques</v>
      </c>
      <c r="C42" s="101" t="str">
        <f>IF(SUMIF(WORKLOAD!$D$4:$D$100,B42,WORKLOAD!$H$4:$H$100)&lt;&gt;0,SUMIF(WORKLOAD!$D$4:$D$100,B42,WORKLOAD!$H$4:$H$100),"")</f>
        <v/>
      </c>
      <c r="D42" s="101" t="str">
        <f>IF(SUMIF(WORKLOAD!$D$4:$D$100,'VENTILATION CHARGE'!B42,WORKLOAD!$I$4:$I$100)&lt;&gt;0,SUMIF(WORKLOAD!$D$4:$D$100,'VENTILATION CHARGE'!B42,WORKLOAD!$I$4:$I$100),"")</f>
        <v/>
      </c>
      <c r="E42" s="101" t="str">
        <f>IF(SUMIF(WORKLOAD!$D$4:$D$100,B42,WORKLOAD!$J$4:$J$100)&lt;&gt;0,SUMIF(WORKLOAD!$D$4:$D$100,B42,WORKLOAD!$J$4:$J$100),"")</f>
        <v/>
      </c>
      <c r="F42" s="101" t="str">
        <f>IF(SUMIF(WORKLOAD!$D$4:$D$100,B42,WORKLOAD!$K$4:$K$100)&lt;&gt;0,SUMIF(WORKLOAD!$D$4:$D$100,B42,WORKLOAD!$K$4:$K$100),"")</f>
        <v/>
      </c>
      <c r="G42" s="101" t="str">
        <f>IF(SUMIF(WORKLOAD!$D$4:$D$100,B42,WORKLOAD!$L$4:$L$100)&lt;&gt;0,SUMIF(WORKLOAD!$D$4:$D$100,B42,WORKLOAD!$L$4:$L$100),"")</f>
        <v/>
      </c>
      <c r="H42" s="101" t="str">
        <f>IF(SUMIF(WORKLOAD!$D$4:$D$100,B42,WORKLOAD!$M$4:$M$100)&lt;&gt;0,SUMIF(WORKLOAD!$D$4:$D$100,B42,WORKLOAD!$M$4:$M$100),"")</f>
        <v/>
      </c>
      <c r="I42" s="101" t="str">
        <f>IF(SUMIF(WORKLOAD!$D$4:$D$100,B42,WORKLOAD!$N$4:$N$100)&lt;&gt;0,SUMIF(WORKLOAD!$D$4:$D$100,B42,WORKLOAD!$N$4:$N$100),"")</f>
        <v/>
      </c>
      <c r="K42" s="99" t="str">
        <f t="shared" si="6"/>
        <v/>
      </c>
    </row>
    <row r="43" spans="2:11">
      <c r="K43" s="97"/>
    </row>
    <row r="44" spans="2:11">
      <c r="B44" s="25" t="s">
        <v>123</v>
      </c>
      <c r="C44" s="99">
        <f t="shared" ref="C44:I44" si="9">IF(SUM(C24:C42)&lt;&gt;0,SUM(C24:C42),"")</f>
        <v>21</v>
      </c>
      <c r="D44" s="99">
        <f t="shared" si="9"/>
        <v>6.5</v>
      </c>
      <c r="E44" s="99">
        <f t="shared" si="9"/>
        <v>26.5</v>
      </c>
      <c r="F44" s="99">
        <f t="shared" si="9"/>
        <v>36</v>
      </c>
      <c r="G44" s="99">
        <f t="shared" si="9"/>
        <v>5</v>
      </c>
      <c r="H44" s="99" t="str">
        <f t="shared" si="9"/>
        <v/>
      </c>
      <c r="I44" s="99" t="str">
        <f t="shared" si="9"/>
        <v/>
      </c>
      <c r="J44" s="98"/>
      <c r="K44" s="99">
        <f>SUM(K24:K42)</f>
        <v>95</v>
      </c>
    </row>
    <row r="46" spans="2:11">
      <c r="B46" s="92" t="s">
        <v>299</v>
      </c>
    </row>
    <row r="47" spans="2:11" ht="71.099999999999994">
      <c r="B47" s="102" t="s">
        <v>293</v>
      </c>
      <c r="C47" s="88" t="str">
        <f>WORKLOAD!H4</f>
        <v>Chef de Projet</v>
      </c>
      <c r="D47" s="88" t="str">
        <f>WORKLOAD!I4</f>
        <v>Architecte</v>
      </c>
      <c r="E47" s="88" t="str">
        <f>WORKLOAD!J4</f>
        <v>Consultant Technique</v>
      </c>
      <c r="F47" s="88" t="str">
        <f>WORKLOAD!K4</f>
        <v>Consultant Change</v>
      </c>
      <c r="G47" s="88" t="str">
        <f>WORKLOAD!L4</f>
        <v>Consultant Data</v>
      </c>
      <c r="H47" s="88">
        <f>WORKLOAD!M4</f>
        <v>0</v>
      </c>
      <c r="I47" s="88">
        <f>WORKLOAD!N4</f>
        <v>0</v>
      </c>
      <c r="J47" s="91"/>
      <c r="K47" s="89" t="s">
        <v>296</v>
      </c>
    </row>
    <row r="48" spans="2:11">
      <c r="B48" s="94" t="str">
        <f>REF!B5</f>
        <v>PILOTAGE</v>
      </c>
      <c r="C48" s="100">
        <f>IF(SUMIF(WORKLOAD!$C$4:$C$100,'VENTILATION CHARGE'!B48,WORKLOAD!$O$4:$O$100)&lt;&gt;0,SUMIF(WORKLOAD!$C$4:$C$100,'VENTILATION CHARGE'!B48,WORKLOAD!$O$4:$O$100),"")</f>
        <v>15375</v>
      </c>
      <c r="D48" s="100">
        <f>IF(SUMIF(WORKLOAD!$C$4:$C$100,'VENTILATION CHARGE'!B48,WORKLOAD!$P$4:$P$100)&lt;&gt;0,SUMIF(WORKLOAD!$C$4:$C$100,'VENTILATION CHARGE'!B48,WORKLOAD!$P$4:$P$100),"")</f>
        <v>425</v>
      </c>
      <c r="E48" s="100" t="str">
        <f>IF(SUMIF(WORKLOAD!$C$4:$C$100,'VENTILATION CHARGE'!B48,WORKLOAD!$Q$4:$Q$100)&lt;&gt;0,SUMIF(WORKLOAD!$C$4:$C$100,'VENTILATION CHARGE'!B48,WORKLOAD!$Q$4:$Q$100),"")</f>
        <v/>
      </c>
      <c r="F48" s="100">
        <f>IF(SUMIF(WORKLOAD!$C$4:$C$100,'VENTILATION CHARGE'!B48,WORKLOAD!$R$4:$R$100)&lt;&gt;0,SUMIF(WORKLOAD!$C$4:$C$100,'VENTILATION CHARGE'!B48,WORKLOAD!$R$4:$R$100),"")</f>
        <v>700</v>
      </c>
      <c r="G48" s="100" t="str">
        <f>IF(SUMIF(WORKLOAD!$C$4:$C$100,'VENTILATION CHARGE'!B48,WORKLOAD!$S$4:$S$100)&lt;&gt;0,SUMIF(WORKLOAD!$C$4:$C$100,'VENTILATION CHARGE'!B48,WORKLOAD!$S$4:$S$100),"")</f>
        <v/>
      </c>
      <c r="H48" s="100" t="str">
        <f>IF(SUMIF(WORKLOAD!$C$4:$C$100,'VENTILATION CHARGE'!B48,WORKLOAD!$T$4:$T$100)&lt;&gt;0,SUMIF(WORKLOAD!$C$4:$C$100,'VENTILATION CHARGE'!B48,WORKLOAD!$T$4:$T$100),"")</f>
        <v/>
      </c>
      <c r="I48" s="100" t="str">
        <f>IF(SUMIF(WORKLOAD!$C$4:$C$100,'VENTILATION CHARGE'!B48,WORKLOAD!$U$4:$U$100)&lt;&gt;0,SUMIF(WORKLOAD!$C$4:$C$100,'VENTILATION CHARGE'!B48,WORKLOAD!$U$4:$U$100),"")</f>
        <v/>
      </c>
      <c r="K48" s="27">
        <f>IF(SUM(C48:I48)&lt;&gt;0,SUM(C48:I48),"")</f>
        <v>16500</v>
      </c>
    </row>
    <row r="49" spans="2:11">
      <c r="B49" s="94" t="str">
        <f>REF!B6</f>
        <v>CONCEPTION</v>
      </c>
      <c r="C49" s="100" t="str">
        <f>IF(SUMIF(WORKLOAD!$C$4:$C$100,'VENTILATION CHARGE'!B49,WORKLOAD!$O$4:$O$100)&lt;&gt;0,SUMIF(WORKLOAD!$C$4:$C$100,'VENTILATION CHARGE'!B49,WORKLOAD!$O$4:$O$100),"")</f>
        <v/>
      </c>
      <c r="D49" s="100">
        <f>IF(SUMIF(WORKLOAD!$C$4:$C$100,'VENTILATION CHARGE'!B49,WORKLOAD!$P$4:$P$100)&lt;&gt;0,SUMIF(WORKLOAD!$C$4:$C$100,'VENTILATION CHARGE'!B49,WORKLOAD!$P$4:$P$100),"")</f>
        <v>5950</v>
      </c>
      <c r="E49" s="100">
        <f>IF(SUMIF(WORKLOAD!$C$4:$C$100,'VENTILATION CHARGE'!B49,WORKLOAD!$Q$4:$Q$100)&lt;&gt;0,SUMIF(WORKLOAD!$C$4:$C$100,'VENTILATION CHARGE'!B49,WORKLOAD!$Q$4:$Q$100),"")</f>
        <v>1125</v>
      </c>
      <c r="F49" s="100" t="str">
        <f>IF(SUMIF(WORKLOAD!$C$4:$C$100,'VENTILATION CHARGE'!B49,WORKLOAD!$R$4:$R$100)&lt;&gt;0,SUMIF(WORKLOAD!$C$4:$C$100,'VENTILATION CHARGE'!B49,WORKLOAD!$R$4:$R$100),"")</f>
        <v/>
      </c>
      <c r="G49" s="100" t="str">
        <f>IF(SUMIF(WORKLOAD!$C$4:$C$100,'VENTILATION CHARGE'!B49,WORKLOAD!$S$4:$S$100)&lt;&gt;0,SUMIF(WORKLOAD!$C$4:$C$100,'VENTILATION CHARGE'!B49,WORKLOAD!$S$4:$S$100),"")</f>
        <v/>
      </c>
      <c r="H49" s="100" t="str">
        <f>IF(SUMIF(WORKLOAD!$C$4:$C$100,'VENTILATION CHARGE'!B49,WORKLOAD!$T$4:$T$100)&lt;&gt;0,SUMIF(WORKLOAD!$C$4:$C$100,'VENTILATION CHARGE'!B49,WORKLOAD!$T$4:$T$100),"")</f>
        <v/>
      </c>
      <c r="I49" s="100" t="str">
        <f>IF(SUMIF(WORKLOAD!$C$4:$C$100,'VENTILATION CHARGE'!B49,WORKLOAD!$U$4:$U$100)&lt;&gt;0,SUMIF(WORKLOAD!$C$4:$C$100,'VENTILATION CHARGE'!B49,WORKLOAD!$U$4:$U$100),"")</f>
        <v/>
      </c>
      <c r="K49" s="27">
        <f t="shared" ref="K49:K55" si="10">IF(SUM(C49:I49)&lt;&gt;0,SUM(C49:I49),"")</f>
        <v>7075</v>
      </c>
    </row>
    <row r="50" spans="2:11">
      <c r="B50" s="94" t="str">
        <f>REF!B7</f>
        <v>CONSTRUCTION</v>
      </c>
      <c r="C50" s="100" t="str">
        <f>IF(SUMIF(WORKLOAD!$C$4:$C$100,'VENTILATION CHARGE'!B50,WORKLOAD!$O$4:$O$100)&lt;&gt;0,SUMIF(WORKLOAD!$C$4:$C$100,'VENTILATION CHARGE'!B50,WORKLOAD!$O$4:$O$100),"")</f>
        <v/>
      </c>
      <c r="D50" s="100" t="str">
        <f>IF(SUMIF(WORKLOAD!$C$4:$C$100,'VENTILATION CHARGE'!B50,WORKLOAD!$P$4:$P$100)&lt;&gt;0,SUMIF(WORKLOAD!$C$4:$C$100,'VENTILATION CHARGE'!B50,WORKLOAD!$P$4:$P$100),"")</f>
        <v/>
      </c>
      <c r="E50" s="100">
        <f>IF(SUMIF(WORKLOAD!$C$4:$C$100,'VENTILATION CHARGE'!B50,WORKLOAD!$Q$4:$Q$100)&lt;&gt;0,SUMIF(WORKLOAD!$C$4:$C$100,'VENTILATION CHARGE'!B50,WORKLOAD!$Q$4:$Q$100),"")</f>
        <v>5625</v>
      </c>
      <c r="F50" s="100" t="str">
        <f>IF(SUMIF(WORKLOAD!$C$4:$C$100,'VENTILATION CHARGE'!B50,WORKLOAD!$R$4:$R$100)&lt;&gt;0,SUMIF(WORKLOAD!$C$4:$C$100,'VENTILATION CHARGE'!B50,WORKLOAD!$R$4:$R$100),"")</f>
        <v/>
      </c>
      <c r="G50" s="100" t="str">
        <f>IF(SUMIF(WORKLOAD!$C$4:$C$100,'VENTILATION CHARGE'!B50,WORKLOAD!$S$4:$S$100)&lt;&gt;0,SUMIF(WORKLOAD!$C$4:$C$100,'VENTILATION CHARGE'!B50,WORKLOAD!$S$4:$S$100),"")</f>
        <v/>
      </c>
      <c r="H50" s="100" t="str">
        <f>IF(SUMIF(WORKLOAD!$C$4:$C$100,'VENTILATION CHARGE'!B50,WORKLOAD!$T$4:$T$100)&lt;&gt;0,SUMIF(WORKLOAD!$C$4:$C$100,'VENTILATION CHARGE'!B50,WORKLOAD!$T$4:$T$100),"")</f>
        <v/>
      </c>
      <c r="I50" s="100" t="str">
        <f>IF(SUMIF(WORKLOAD!$C$4:$C$100,'VENTILATION CHARGE'!B50,WORKLOAD!$U$4:$U$100)&lt;&gt;0,SUMIF(WORKLOAD!$C$4:$C$100,'VENTILATION CHARGE'!B50,WORKLOAD!$U$4:$U$100),"")</f>
        <v/>
      </c>
      <c r="K50" s="27">
        <f t="shared" si="10"/>
        <v>5625</v>
      </c>
    </row>
    <row r="51" spans="2:11">
      <c r="B51" s="94" t="str">
        <f>REF!B8</f>
        <v>VALIDATION</v>
      </c>
      <c r="C51" s="100">
        <f>IF(SUMIF(WORKLOAD!$C$4:$C$100,'VENTILATION CHARGE'!B51,WORKLOAD!$O$4:$O$100)&lt;&gt;0,SUMIF(WORKLOAD!$C$4:$C$100,'VENTILATION CHARGE'!B51,WORKLOAD!$O$4:$O$100),"")</f>
        <v>375</v>
      </c>
      <c r="D51" s="100" t="str">
        <f>IF(SUMIF(WORKLOAD!$C$4:$C$100,'VENTILATION CHARGE'!B51,WORKLOAD!$P$4:$P$100)&lt;&gt;0,SUMIF(WORKLOAD!$C$4:$C$100,'VENTILATION CHARGE'!B51,WORKLOAD!$P$4:$P$100),"")</f>
        <v/>
      </c>
      <c r="E51" s="100">
        <f>IF(SUMIF(WORKLOAD!$C$4:$C$100,'VENTILATION CHARGE'!B51,WORKLOAD!$Q$4:$Q$100)&lt;&gt;0,SUMIF(WORKLOAD!$C$4:$C$100,'VENTILATION CHARGE'!B51,WORKLOAD!$Q$4:$Q$100),"")</f>
        <v>12375</v>
      </c>
      <c r="F51" s="100">
        <f>IF(SUMIF(WORKLOAD!$C$4:$C$100,'VENTILATION CHARGE'!B51,WORKLOAD!$R$4:$R$100)&lt;&gt;0,SUMIF(WORKLOAD!$C$4:$C$100,'VENTILATION CHARGE'!B51,WORKLOAD!$R$4:$R$100),"")</f>
        <v>23800</v>
      </c>
      <c r="G51" s="100">
        <f>IF(SUMIF(WORKLOAD!$C$4:$C$100,'VENTILATION CHARGE'!B51,WORKLOAD!$S$4:$S$100)&lt;&gt;0,SUMIF(WORKLOAD!$C$4:$C$100,'VENTILATION CHARGE'!B51,WORKLOAD!$S$4:$S$100),"")</f>
        <v>4000</v>
      </c>
      <c r="H51" s="100" t="str">
        <f>IF(SUMIF(WORKLOAD!$C$4:$C$100,'VENTILATION CHARGE'!B51,WORKLOAD!$T$4:$T$100)&lt;&gt;0,SUMIF(WORKLOAD!$C$4:$C$100,'VENTILATION CHARGE'!B51,WORKLOAD!$T$4:$T$100),"")</f>
        <v/>
      </c>
      <c r="I51" s="100" t="str">
        <f>IF(SUMIF(WORKLOAD!$C$4:$C$100,'VENTILATION CHARGE'!B51,WORKLOAD!$U$4:$U$100)&lt;&gt;0,SUMIF(WORKLOAD!$C$4:$C$100,'VENTILATION CHARGE'!B51,WORKLOAD!$U$4:$U$100),"")</f>
        <v/>
      </c>
      <c r="K51" s="27">
        <f t="shared" si="10"/>
        <v>40550</v>
      </c>
    </row>
    <row r="52" spans="2:11">
      <c r="B52" s="94" t="str">
        <f>REF!B9</f>
        <v>FINALISATION</v>
      </c>
      <c r="C52" s="100" t="str">
        <f>IF(SUMIF(WORKLOAD!$C$4:$C$100,'VENTILATION CHARGE'!B52,WORKLOAD!$O$4:$O$100)&lt;&gt;0,SUMIF(WORKLOAD!$C$4:$C$100,'VENTILATION CHARGE'!B52,WORKLOAD!$O$4:$O$100),"")</f>
        <v/>
      </c>
      <c r="D52" s="100">
        <f>IF(SUMIF(WORKLOAD!$C$4:$C$100,'VENTILATION CHARGE'!B52,WORKLOAD!$P$4:$P$100)&lt;&gt;0,SUMIF(WORKLOAD!$C$4:$C$100,'VENTILATION CHARGE'!B52,WORKLOAD!$P$4:$P$100),"")</f>
        <v>1700</v>
      </c>
      <c r="E52" s="100">
        <f>IF(SUMIF(WORKLOAD!$C$4:$C$100,'VENTILATION CHARGE'!B52,WORKLOAD!$Q$4:$Q$100)&lt;&gt;0,SUMIF(WORKLOAD!$C$4:$C$100,'VENTILATION CHARGE'!B52,WORKLOAD!$Q$4:$Q$100),"")</f>
        <v>2250</v>
      </c>
      <c r="F52" s="100">
        <f>IF(SUMIF(WORKLOAD!$C$4:$C$100,'VENTILATION CHARGE'!B52,WORKLOAD!$R$4:$R$100)&lt;&gt;0,SUMIF(WORKLOAD!$C$4:$C$100,'VENTILATION CHARGE'!B52,WORKLOAD!$R$4:$R$100),"")</f>
        <v>700</v>
      </c>
      <c r="G52" s="100" t="str">
        <f>IF(SUMIF(WORKLOAD!$C$4:$C$100,'VENTILATION CHARGE'!B52,WORKLOAD!$S$4:$S$100)&lt;&gt;0,SUMIF(WORKLOAD!$C$4:$C$100,'VENTILATION CHARGE'!B52,WORKLOAD!$S$4:$S$100),"")</f>
        <v/>
      </c>
      <c r="H52" s="100" t="str">
        <f>IF(SUMIF(WORKLOAD!$C$4:$C$100,'VENTILATION CHARGE'!B52,WORKLOAD!$T$4:$T$100)&lt;&gt;0,SUMIF(WORKLOAD!$C$4:$C$100,'VENTILATION CHARGE'!B52,WORKLOAD!$T$4:$T$100),"")</f>
        <v/>
      </c>
      <c r="I52" s="100" t="str">
        <f>IF(SUMIF(WORKLOAD!$C$4:$C$100,'VENTILATION CHARGE'!B52,WORKLOAD!$U$4:$U$100)&lt;&gt;0,SUMIF(WORKLOAD!$C$4:$C$100,'VENTILATION CHARGE'!B52,WORKLOAD!$U$4:$U$100),"")</f>
        <v/>
      </c>
      <c r="K52" s="27">
        <f t="shared" si="10"/>
        <v>4650</v>
      </c>
    </row>
    <row r="53" spans="2:11">
      <c r="B53" s="94" t="str">
        <f>REF!B10</f>
        <v>GARANTIE</v>
      </c>
      <c r="C53" s="100" t="str">
        <f>IF(SUMIF(WORKLOAD!$C$4:$C$100,'VENTILATION CHARGE'!B53,WORKLOAD!$O$4:$O$100)&lt;&gt;0,SUMIF(WORKLOAD!$C$4:$C$100,'VENTILATION CHARGE'!B53,WORKLOAD!$O$4:$O$100),"")</f>
        <v/>
      </c>
      <c r="D53" s="100" t="str">
        <f>IF(SUMIF(WORKLOAD!$C$4:$C$100,'VENTILATION CHARGE'!B53,WORKLOAD!$P$4:$P$100)&lt;&gt;0,SUMIF(WORKLOAD!$C$4:$C$100,'VENTILATION CHARGE'!B53,WORKLOAD!$P$4:$P$100),"")</f>
        <v/>
      </c>
      <c r="E53" s="100" t="str">
        <f>IF(SUMIF(WORKLOAD!$C$4:$C$100,'VENTILATION CHARGE'!B53,WORKLOAD!$Q$4:$Q$100)&lt;&gt;0,SUMIF(WORKLOAD!$C$4:$C$100,'VENTILATION CHARGE'!B53,WORKLOAD!$Q$4:$Q$100),"")</f>
        <v/>
      </c>
      <c r="F53" s="100" t="str">
        <f>IF(SUMIF(WORKLOAD!$C$4:$C$100,'VENTILATION CHARGE'!B53,WORKLOAD!$R$4:$R$100)&lt;&gt;0,SUMIF(WORKLOAD!$C$4:$C$100,'VENTILATION CHARGE'!B53,WORKLOAD!$R$4:$R$100),"")</f>
        <v/>
      </c>
      <c r="G53" s="100" t="str">
        <f>IF(SUMIF(WORKLOAD!$C$4:$C$100,'VENTILATION CHARGE'!B53,WORKLOAD!$S$4:$S$100)&lt;&gt;0,SUMIF(WORKLOAD!$C$4:$C$100,'VENTILATION CHARGE'!B53,WORKLOAD!$S$4:$S$100),"")</f>
        <v/>
      </c>
      <c r="H53" s="100" t="str">
        <f>IF(SUMIF(WORKLOAD!$C$4:$C$100,'VENTILATION CHARGE'!B53,WORKLOAD!$T$4:$T$100)&lt;&gt;0,SUMIF(WORKLOAD!$C$4:$C$100,'VENTILATION CHARGE'!B53,WORKLOAD!$T$4:$T$100),"")</f>
        <v/>
      </c>
      <c r="I53" s="100" t="str">
        <f>IF(SUMIF(WORKLOAD!$C$4:$C$100,'VENTILATION CHARGE'!B53,WORKLOAD!$U$4:$U$100)&lt;&gt;0,SUMIF(WORKLOAD!$C$4:$C$100,'VENTILATION CHARGE'!B53,WORKLOAD!$U$4:$U$100),"")</f>
        <v/>
      </c>
      <c r="K53" s="27" t="str">
        <f t="shared" ref="K53" si="11">IF(SUM(C53:I53)&lt;&gt;0,SUM(C53:I53),"")</f>
        <v/>
      </c>
    </row>
    <row r="54" spans="2:11">
      <c r="B54" s="94" t="str">
        <f>REF!B11</f>
        <v>TMA</v>
      </c>
      <c r="C54" s="100" t="str">
        <f>IF(SUMIF(WORKLOAD!$C$4:$C$100,'VENTILATION CHARGE'!B54,WORKLOAD!$O$4:$O$100)&lt;&gt;0,SUMIF(WORKLOAD!$C$4:$C$100,'VENTILATION CHARGE'!B54,WORKLOAD!$O$4:$O$100),"")</f>
        <v/>
      </c>
      <c r="D54" s="100" t="str">
        <f>IF(SUMIF(WORKLOAD!$C$4:$C$100,'VENTILATION CHARGE'!B54,WORKLOAD!$P$4:$P$100)&lt;&gt;0,SUMIF(WORKLOAD!$C$4:$C$100,'VENTILATION CHARGE'!B54,WORKLOAD!$P$4:$P$100),"")</f>
        <v/>
      </c>
      <c r="E54" s="100" t="str">
        <f>IF(SUMIF(WORKLOAD!$C$4:$C$100,'VENTILATION CHARGE'!B54,WORKLOAD!$Q$4:$Q$100)&lt;&gt;0,SUMIF(WORKLOAD!$C$4:$C$100,'VENTILATION CHARGE'!B54,WORKLOAD!$Q$4:$Q$100),"")</f>
        <v/>
      </c>
      <c r="F54" s="100" t="str">
        <f>IF(SUMIF(WORKLOAD!$C$4:$C$100,'VENTILATION CHARGE'!B54,WORKLOAD!$R$4:$R$100)&lt;&gt;0,SUMIF(WORKLOAD!$C$4:$C$100,'VENTILATION CHARGE'!B54,WORKLOAD!$R$4:$R$100),"")</f>
        <v/>
      </c>
      <c r="G54" s="100" t="str">
        <f>IF(SUMIF(WORKLOAD!$C$4:$C$100,'VENTILATION CHARGE'!B54,WORKLOAD!$S$4:$S$100)&lt;&gt;0,SUMIF(WORKLOAD!$C$4:$C$100,'VENTILATION CHARGE'!B54,WORKLOAD!$S$4:$S$100),"")</f>
        <v/>
      </c>
      <c r="H54" s="100" t="str">
        <f>IF(SUMIF(WORKLOAD!$C$4:$C$100,'VENTILATION CHARGE'!B54,WORKLOAD!$T$4:$T$100)&lt;&gt;0,SUMIF(WORKLOAD!$C$4:$C$100,'VENTILATION CHARGE'!B54,WORKLOAD!$T$4:$T$100),"")</f>
        <v/>
      </c>
      <c r="I54" s="100" t="str">
        <f>IF(SUMIF(WORKLOAD!$C$4:$C$100,'VENTILATION CHARGE'!B54,WORKLOAD!$U$4:$U$100)&lt;&gt;0,SUMIF(WORKLOAD!$C$4:$C$100,'VENTILATION CHARGE'!B54,WORKLOAD!$U$4:$U$100),"")</f>
        <v/>
      </c>
      <c r="K54" s="27" t="str">
        <f t="shared" si="10"/>
        <v/>
      </c>
    </row>
    <row r="55" spans="2:11">
      <c r="B55" s="94" t="str">
        <f>REF!B12</f>
        <v>PROVISION</v>
      </c>
      <c r="C55" s="100">
        <f>IF(SUMIF(WORKLOAD!$C$4:$C$100,'VENTILATION CHARGE'!B55,WORKLOAD!$O$4:$O$100)&lt;&gt;0,SUMIF(WORKLOAD!$C$4:$C$100,'VENTILATION CHARGE'!B55,WORKLOAD!$O$4:$O$100),"")</f>
        <v>375</v>
      </c>
      <c r="D55" s="100">
        <f>IF(SUMIF(WORKLOAD!$C$4:$C$100,'VENTILATION CHARGE'!B55,WORKLOAD!$P$4:$P$100)&lt;&gt;0,SUMIF(WORKLOAD!$C$4:$C$100,'VENTILATION CHARGE'!B55,WORKLOAD!$P$4:$P$100),"")</f>
        <v>850</v>
      </c>
      <c r="E55" s="100">
        <f>IF(SUMIF(WORKLOAD!$C$4:$C$100,'VENTILATION CHARGE'!B55,WORKLOAD!$Q$4:$Q$100)&lt;&gt;0,SUMIF(WORKLOAD!$C$4:$C$100,'VENTILATION CHARGE'!B55,WORKLOAD!$Q$4:$Q$100),"")</f>
        <v>750</v>
      </c>
      <c r="F55" s="100">
        <f>IF(SUMIF(WORKLOAD!$C$4:$C$100,'VENTILATION CHARGE'!B55,WORKLOAD!$R$4:$R$100)&lt;&gt;0,SUMIF(WORKLOAD!$C$4:$C$100,'VENTILATION CHARGE'!B55,WORKLOAD!$R$4:$R$100),"")</f>
        <v>1050</v>
      </c>
      <c r="G55" s="100" t="str">
        <f>IF(SUMIF(WORKLOAD!$C$4:$C$100,'VENTILATION CHARGE'!B55,WORKLOAD!$S$4:$S$100)&lt;&gt;0,SUMIF(WORKLOAD!$C$4:$C$100,'VENTILATION CHARGE'!B55,WORKLOAD!$S$4:$S$100),"")</f>
        <v/>
      </c>
      <c r="H55" s="100" t="str">
        <f>IF(SUMIF(WORKLOAD!$C$4:$C$100,'VENTILATION CHARGE'!B55,WORKLOAD!$T$4:$T$100)&lt;&gt;0,SUMIF(WORKLOAD!$C$4:$C$100,'VENTILATION CHARGE'!B55,WORKLOAD!$T$4:$T$100),"")</f>
        <v/>
      </c>
      <c r="I55" s="100" t="str">
        <f>IF(SUMIF(WORKLOAD!$C$4:$C$100,'VENTILATION CHARGE'!B55,WORKLOAD!$U$4:$U$100)&lt;&gt;0,SUMIF(WORKLOAD!$C$4:$C$100,'VENTILATION CHARGE'!B55,WORKLOAD!$U$4:$U$100),"")</f>
        <v/>
      </c>
      <c r="K55" s="27">
        <f t="shared" si="10"/>
        <v>3025</v>
      </c>
    </row>
    <row r="56" spans="2:11">
      <c r="K56" s="96"/>
    </row>
    <row r="57" spans="2:11">
      <c r="B57" s="25" t="s">
        <v>123</v>
      </c>
      <c r="C57" s="27">
        <f t="shared" ref="C57:I57" si="12">IF(SUM(C48:C55)&lt;&gt;0,SUM(C48:C55),"")</f>
        <v>16125</v>
      </c>
      <c r="D57" s="27">
        <f t="shared" si="12"/>
        <v>8925</v>
      </c>
      <c r="E57" s="27">
        <f t="shared" si="12"/>
        <v>22125</v>
      </c>
      <c r="F57" s="27">
        <f t="shared" si="12"/>
        <v>26250</v>
      </c>
      <c r="G57" s="27">
        <f t="shared" si="12"/>
        <v>4000</v>
      </c>
      <c r="H57" s="27" t="str">
        <f t="shared" si="12"/>
        <v/>
      </c>
      <c r="I57" s="27" t="str">
        <f t="shared" si="12"/>
        <v/>
      </c>
      <c r="K57" s="95">
        <f>SUM(K48:K55)</f>
        <v>77425</v>
      </c>
    </row>
  </sheetData>
  <sheetProtection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0"/>
  <dimension ref="A1"/>
  <sheetViews>
    <sheetView showGridLines="0" workbookViewId="0">
      <selection activeCell="A19" sqref="A19"/>
    </sheetView>
  </sheetViews>
  <sheetFormatPr defaultColWidth="11" defaultRowHeight="16.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9"/>
  <dimension ref="A1:N25"/>
  <sheetViews>
    <sheetView showGridLines="0" workbookViewId="0">
      <selection activeCell="F8" sqref="F8"/>
    </sheetView>
  </sheetViews>
  <sheetFormatPr defaultColWidth="11" defaultRowHeight="14.1"/>
  <cols>
    <col min="1" max="1" width="11" style="5"/>
    <col min="2" max="2" width="17.5" style="5" customWidth="1"/>
    <col min="3" max="3" width="2.125" style="5" customWidth="1"/>
    <col min="4" max="4" width="29.25" style="5" customWidth="1"/>
    <col min="5" max="5" width="1.75" style="5" customWidth="1"/>
    <col min="6" max="6" width="31.25" style="5" bestFit="1" customWidth="1"/>
    <col min="7" max="7" width="3.25" style="5" customWidth="1"/>
    <col min="8" max="8" width="11" style="5"/>
    <col min="9" max="9" width="3.25" style="5" customWidth="1"/>
    <col min="10" max="10" width="17.125" style="5" customWidth="1"/>
    <col min="11" max="11" width="2.625" style="5" customWidth="1"/>
    <col min="12" max="12" width="29.125" style="5" bestFit="1" customWidth="1"/>
    <col min="13" max="13" width="2.625" style="5" customWidth="1"/>
    <col min="14" max="14" width="28.125" style="5" bestFit="1" customWidth="1"/>
    <col min="15" max="16384" width="11" style="5"/>
  </cols>
  <sheetData>
    <row r="1" spans="1:14" ht="45.75" customHeight="1">
      <c r="A1" s="1"/>
      <c r="B1" s="36" t="s">
        <v>300</v>
      </c>
      <c r="C1" s="13"/>
      <c r="D1" s="4"/>
      <c r="E1" s="2"/>
      <c r="F1" s="2"/>
      <c r="G1" s="3"/>
      <c r="H1" s="3"/>
      <c r="I1" s="3"/>
      <c r="J1" s="3"/>
      <c r="K1" s="3"/>
      <c r="L1" s="2"/>
      <c r="M1" s="2"/>
      <c r="N1" s="2"/>
    </row>
    <row r="4" spans="1:14">
      <c r="B4" s="25" t="s">
        <v>293</v>
      </c>
      <c r="C4" s="8"/>
      <c r="D4" s="25" t="s">
        <v>298</v>
      </c>
      <c r="E4" s="8"/>
      <c r="F4" s="25" t="s">
        <v>98</v>
      </c>
      <c r="H4" s="25" t="s">
        <v>301</v>
      </c>
      <c r="J4" s="25" t="s">
        <v>302</v>
      </c>
      <c r="L4" s="25" t="s">
        <v>303</v>
      </c>
      <c r="N4" s="25" t="s">
        <v>304</v>
      </c>
    </row>
    <row r="5" spans="1:14">
      <c r="B5" s="7" t="s">
        <v>42</v>
      </c>
      <c r="C5" s="8"/>
      <c r="D5" s="7" t="s">
        <v>43</v>
      </c>
      <c r="E5" s="8"/>
      <c r="F5" s="7" t="s">
        <v>132</v>
      </c>
      <c r="H5" s="133">
        <v>45292</v>
      </c>
      <c r="J5" s="7" t="s">
        <v>305</v>
      </c>
      <c r="L5" s="7" t="s">
        <v>306</v>
      </c>
      <c r="N5" s="7" t="s">
        <v>307</v>
      </c>
    </row>
    <row r="6" spans="1:14">
      <c r="B6" s="7" t="s">
        <v>25</v>
      </c>
      <c r="C6" s="8"/>
      <c r="D6" s="7" t="s">
        <v>308</v>
      </c>
      <c r="E6" s="8"/>
      <c r="F6" s="7" t="s">
        <v>120</v>
      </c>
      <c r="H6" s="133">
        <v>45323</v>
      </c>
      <c r="J6" s="7" t="s">
        <v>309</v>
      </c>
      <c r="L6" s="7" t="s">
        <v>310</v>
      </c>
      <c r="N6" s="7" t="s">
        <v>311</v>
      </c>
    </row>
    <row r="7" spans="1:14">
      <c r="B7" s="7" t="s">
        <v>27</v>
      </c>
      <c r="C7" s="8"/>
      <c r="D7" s="7" t="s">
        <v>261</v>
      </c>
      <c r="E7" s="8"/>
      <c r="F7" s="7" t="s">
        <v>118</v>
      </c>
      <c r="H7" s="133">
        <v>45352</v>
      </c>
      <c r="J7" s="7" t="s">
        <v>312</v>
      </c>
      <c r="L7" s="7" t="s">
        <v>313</v>
      </c>
      <c r="N7" s="7" t="s">
        <v>314</v>
      </c>
    </row>
    <row r="8" spans="1:14">
      <c r="B8" s="7" t="s">
        <v>30</v>
      </c>
      <c r="C8" s="8"/>
      <c r="D8" s="7" t="s">
        <v>262</v>
      </c>
      <c r="E8" s="8"/>
      <c r="F8" s="7" t="s">
        <v>122</v>
      </c>
      <c r="H8" s="133">
        <v>45383</v>
      </c>
      <c r="J8" s="7" t="s">
        <v>315</v>
      </c>
      <c r="L8" s="7" t="s">
        <v>316</v>
      </c>
      <c r="N8" s="7" t="s">
        <v>317</v>
      </c>
    </row>
    <row r="9" spans="1:14">
      <c r="B9" s="7" t="s">
        <v>33</v>
      </c>
      <c r="C9" s="8"/>
      <c r="D9" s="7" t="s">
        <v>28</v>
      </c>
      <c r="E9" s="8"/>
      <c r="F9" s="7" t="s">
        <v>136</v>
      </c>
      <c r="H9" s="133">
        <v>45413</v>
      </c>
      <c r="J9" s="7" t="s">
        <v>318</v>
      </c>
      <c r="L9" s="7" t="s">
        <v>319</v>
      </c>
      <c r="N9" s="7" t="s">
        <v>320</v>
      </c>
    </row>
    <row r="10" spans="1:14">
      <c r="B10" s="7" t="s">
        <v>321</v>
      </c>
      <c r="C10" s="8"/>
      <c r="D10" s="7" t="s">
        <v>322</v>
      </c>
      <c r="E10" s="8"/>
      <c r="F10" s="7" t="s">
        <v>116</v>
      </c>
      <c r="H10" s="133">
        <v>45444</v>
      </c>
      <c r="J10" s="7" t="s">
        <v>323</v>
      </c>
      <c r="L10" s="7" t="s">
        <v>324</v>
      </c>
      <c r="N10" s="7" t="s">
        <v>325</v>
      </c>
    </row>
    <row r="11" spans="1:14">
      <c r="B11" s="7" t="s">
        <v>326</v>
      </c>
      <c r="C11" s="8"/>
      <c r="D11" s="7" t="s">
        <v>263</v>
      </c>
      <c r="E11" s="8"/>
      <c r="F11" s="7" t="s">
        <v>137</v>
      </c>
      <c r="H11" s="133">
        <v>45474</v>
      </c>
      <c r="J11" s="7" t="s">
        <v>327</v>
      </c>
      <c r="L11" s="7" t="s">
        <v>328</v>
      </c>
      <c r="N11" s="7" t="s">
        <v>329</v>
      </c>
    </row>
    <row r="12" spans="1:14">
      <c r="B12" s="7" t="s">
        <v>39</v>
      </c>
      <c r="C12" s="8"/>
      <c r="D12" s="7" t="s">
        <v>34</v>
      </c>
      <c r="E12" s="8"/>
      <c r="F12" s="7" t="s">
        <v>113</v>
      </c>
      <c r="H12" s="133">
        <v>45505</v>
      </c>
      <c r="J12" s="7" t="s">
        <v>330</v>
      </c>
      <c r="L12" s="7" t="s">
        <v>331</v>
      </c>
      <c r="N12" s="7" t="s">
        <v>332</v>
      </c>
    </row>
    <row r="13" spans="1:14">
      <c r="B13" s="8"/>
      <c r="C13" s="8"/>
      <c r="D13" s="7" t="s">
        <v>264</v>
      </c>
      <c r="E13" s="8"/>
      <c r="F13" s="7" t="s">
        <v>138</v>
      </c>
      <c r="H13" s="133">
        <v>45536</v>
      </c>
      <c r="J13" s="7" t="s">
        <v>333</v>
      </c>
      <c r="L13" s="7" t="s">
        <v>334</v>
      </c>
      <c r="N13" s="7" t="s">
        <v>335</v>
      </c>
    </row>
    <row r="14" spans="1:14">
      <c r="B14" s="8"/>
      <c r="C14" s="8"/>
      <c r="D14" s="7" t="s">
        <v>40</v>
      </c>
      <c r="E14" s="8"/>
      <c r="F14" s="7" t="s">
        <v>139</v>
      </c>
      <c r="H14" s="133">
        <v>45566</v>
      </c>
      <c r="L14" s="7" t="s">
        <v>336</v>
      </c>
      <c r="N14" s="7" t="s">
        <v>337</v>
      </c>
    </row>
    <row r="15" spans="1:14">
      <c r="B15" s="8"/>
      <c r="C15" s="8"/>
      <c r="D15" s="7" t="s">
        <v>338</v>
      </c>
      <c r="E15" s="8"/>
      <c r="F15" s="7" t="s">
        <v>140</v>
      </c>
      <c r="H15" s="133">
        <v>45597</v>
      </c>
      <c r="L15" s="7" t="s">
        <v>339</v>
      </c>
      <c r="N15" s="7" t="s">
        <v>340</v>
      </c>
    </row>
    <row r="16" spans="1:14">
      <c r="B16" s="8"/>
      <c r="C16" s="8"/>
      <c r="D16" s="7" t="s">
        <v>341</v>
      </c>
      <c r="E16" s="8"/>
      <c r="F16" s="7" t="s">
        <v>141</v>
      </c>
      <c r="H16" s="133">
        <v>45627</v>
      </c>
      <c r="L16" s="7" t="s">
        <v>342</v>
      </c>
      <c r="N16" s="7" t="s">
        <v>343</v>
      </c>
    </row>
    <row r="17" spans="2:14">
      <c r="B17" s="8"/>
      <c r="C17" s="8"/>
      <c r="D17" s="7" t="s">
        <v>48</v>
      </c>
      <c r="E17" s="8"/>
      <c r="F17" s="7" t="s">
        <v>344</v>
      </c>
      <c r="H17" s="133">
        <v>45658</v>
      </c>
      <c r="L17" s="7" t="s">
        <v>345</v>
      </c>
      <c r="N17" s="7" t="s">
        <v>346</v>
      </c>
    </row>
    <row r="18" spans="2:14">
      <c r="B18" s="8"/>
      <c r="C18" s="8"/>
      <c r="D18" s="7" t="s">
        <v>347</v>
      </c>
      <c r="E18" s="8"/>
      <c r="F18" s="7" t="s">
        <v>143</v>
      </c>
      <c r="H18" s="133">
        <v>45689</v>
      </c>
      <c r="L18" s="7" t="s">
        <v>348</v>
      </c>
      <c r="N18" s="7" t="s">
        <v>349</v>
      </c>
    </row>
    <row r="19" spans="2:14">
      <c r="D19" s="7" t="s">
        <v>265</v>
      </c>
      <c r="F19" s="7" t="s">
        <v>144</v>
      </c>
      <c r="H19" s="133">
        <v>45717</v>
      </c>
      <c r="L19" s="7" t="s">
        <v>48</v>
      </c>
      <c r="N19" s="7" t="s">
        <v>350</v>
      </c>
    </row>
    <row r="20" spans="2:14">
      <c r="D20" s="7" t="s">
        <v>37</v>
      </c>
      <c r="F20" s="7" t="s">
        <v>351</v>
      </c>
      <c r="H20" s="133">
        <v>45748</v>
      </c>
      <c r="L20" s="7" t="s">
        <v>352</v>
      </c>
      <c r="N20" s="7" t="s">
        <v>353</v>
      </c>
    </row>
    <row r="21" spans="2:14">
      <c r="D21" s="7" t="s">
        <v>266</v>
      </c>
      <c r="F21" s="7" t="s">
        <v>354</v>
      </c>
    </row>
    <row r="22" spans="2:14">
      <c r="D22" s="7" t="s">
        <v>355</v>
      </c>
      <c r="F22" s="7" t="s">
        <v>356</v>
      </c>
    </row>
    <row r="23" spans="2:14">
      <c r="D23" s="7" t="s">
        <v>357</v>
      </c>
      <c r="F23" s="8"/>
    </row>
    <row r="24" spans="2:14">
      <c r="D24" s="8"/>
      <c r="F24" s="8"/>
    </row>
    <row r="25" spans="2:14">
      <c r="D25" s="8"/>
    </row>
  </sheetData>
  <phoneticPr fontId="23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7891D2B7-EA0E-4657-8C8A-01B4A728EE1B}">
            <xm:f>WORKLOAD!#REF!=$B$12</xm:f>
            <x14:dxf>
              <font>
                <color theme="0"/>
              </font>
              <fill>
                <patternFill>
                  <bgColor theme="0" tint="-0.499984740745262"/>
                </patternFill>
              </fill>
            </x14:dxf>
          </x14:cfRule>
          <xm:sqref>C62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d5c1b5-d16e-4088-91eb-51bbb374ae30">
      <Terms xmlns="http://schemas.microsoft.com/office/infopath/2007/PartnerControls"/>
    </lcf76f155ced4ddcb4097134ff3c332f>
    <TaxCatchAll xmlns="473925ec-06ed-4532-a7e8-c1e1c662e3c5" xsi:nil="true"/>
    <SharedWithUsers xmlns="473925ec-06ed-4532-a7e8-c1e1c662e3c5">
      <UserInfo>
        <DisplayName/>
        <AccountId xsi:nil="true"/>
        <AccountType/>
      </UserInfo>
    </SharedWithUsers>
    <Typologie_document xmlns="47d5c1b5-d16e-4088-91eb-51bbb374ae30" xsi:nil="true"/>
    <TranslatedLang xmlns="47d5c1b5-d16e-4088-91eb-51bbb374ae30" xsi:nil="true"/>
    <_ApprovalAssignedTo xmlns="47d5c1b5-d16e-4088-91eb-51bbb374ae30">
      <UserInfo>
        <DisplayName/>
        <AccountId xsi:nil="true"/>
        <AccountType/>
      </UserInfo>
    </_ApprovalAssignedTo>
    <_ApprovalSentBy xmlns="47d5c1b5-d16e-4088-91eb-51bbb374ae30">
      <UserInfo>
        <DisplayName/>
        <AccountId xsi:nil="true"/>
        <AccountType/>
      </UserInfo>
    </_ApprovalSentBy>
    <_ApprovalRespondedBy xmlns="47d5c1b5-d16e-4088-91eb-51bbb374ae30">
      <UserInfo>
        <DisplayName/>
        <AccountId xsi:nil="true"/>
        <AccountType/>
      </UserInfo>
    </_ApprovalRespondedBy>
    <_ApprovalStatus xmlns="47d5c1b5-d16e-4088-91eb-51bbb374ae30">0</_Approval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A420855CC0040B507DDB74BF1488C" ma:contentTypeVersion="25" ma:contentTypeDescription="Crée un document." ma:contentTypeScope="" ma:versionID="332e894433946fe85f15e4535d4a49d0">
  <xsd:schema xmlns:xsd="http://www.w3.org/2001/XMLSchema" xmlns:xs="http://www.w3.org/2001/XMLSchema" xmlns:p="http://schemas.microsoft.com/office/2006/metadata/properties" xmlns:ns2="47d5c1b5-d16e-4088-91eb-51bbb374ae30" xmlns:ns3="473925ec-06ed-4532-a7e8-c1e1c662e3c5" targetNamespace="http://schemas.microsoft.com/office/2006/metadata/properties" ma:root="true" ma:fieldsID="68c76cb4f2b771dbe66203104908203d" ns2:_="" ns3:_="">
    <xsd:import namespace="47d5c1b5-d16e-4088-91eb-51bbb374ae30"/>
    <xsd:import namespace="473925ec-06ed-4532-a7e8-c1e1c662e3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Typologie_document" minOccurs="0"/>
                <xsd:element ref="ns2:MediaServiceBillingMetadata" minOccurs="0"/>
                <xsd:element ref="ns2:TranslatedLang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d5c1b5-d16e-4088-91eb-51bbb374ae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Auteur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Auteur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Auteur" ma:hidden="true" ma:internalName="MediaServiceDateTaken" ma:readOnly="true">
      <xsd:simpleType>
        <xsd:restriction base="dms:Text"/>
      </xsd:simpleType>
    </xsd:element>
    <xsd:element name="MediaServiceAutoTags" ma:index="11" nillable="true" ma:displayName="Auteur" ma:internalName="MediaServiceAutoTags" ma:readOnly="true">
      <xsd:simpleType>
        <xsd:restriction base="dms:Text"/>
      </xsd:simpleType>
    </xsd:element>
    <xsd:element name="MediaServiceGenerationTime" ma:index="12" nillable="true" ma:displayName="Auteur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Auteur" ma:hidden="true" ma:internalName="MediaServiceEventHashCode" ma:readOnly="true">
      <xsd:simpleType>
        <xsd:restriction base="dms:Text"/>
      </xsd:simpleType>
    </xsd:element>
    <xsd:element name="MediaServiceOCR" ma:index="14" nillable="true" ma:displayName="Auteu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Auteur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Auteur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Auteur" ma:internalName="MediaServiceLocation" ma:readOnly="true">
      <xsd:simpleType>
        <xsd:restriction base="dms:Text"/>
      </xsd:simpleType>
    </xsd:element>
    <xsd:element name="MediaLengthInSeconds" ma:index="20" nillable="true" ma:displayName="Auteur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uteur" ma:readOnly="false" ma:fieldId="{5cf76f15-5ced-4ddc-b409-7134ff3c332f}" ma:taxonomyMulti="true" ma:sspId="a6513dac-2108-45be-9841-df3da354e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Auteur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Auteur" ma:hidden="true" ma:internalName="MediaServiceSearchProperties" ma:readOnly="true">
      <xsd:simpleType>
        <xsd:restriction base="dms:Note"/>
      </xsd:simpleType>
    </xsd:element>
    <xsd:element name="Typologie_document" ma:index="26" nillable="true" ma:displayName="Auteur" ma:format="Dropdown" ma:internalName="Typologie_document">
      <xsd:simpleType>
        <xsd:restriction base="dms:Text">
          <xsd:maxLength value="255"/>
        </xsd:restriction>
      </xsd:simpleType>
    </xsd:element>
    <xsd:element name="MediaServiceBillingMetadata" ma:index="27" nillable="true" ma:displayName="Auteur" ma:hidden="true" ma:internalName="MediaServiceBillingMetadata" ma:readOnly="true">
      <xsd:simpleType>
        <xsd:restriction base="dms:Note"/>
      </xsd:simpleType>
    </xsd:element>
    <xsd:element name="TranslatedLang" ma:index="28" nillable="true" ma:displayName="Auteur" ma:internalName="TranslatedLang">
      <xsd:simpleType>
        <xsd:restriction base="dms:Text"/>
      </xsd:simpleType>
    </xsd:element>
    <xsd:element name="_ApprovalAssignedTo" ma:index="29" nillable="true" ma:displayName="Auteur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0" nillable="true" ma:displayName="Auteur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1" nillable="true" ma:displayName="Auteu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2" nillable="true" ma:displayName="Auteur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925ec-06ed-4532-a7e8-c1e1c662e3c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Auteu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Auteu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Auteur" ma:hidden="true" ma:list="{cb9c9179-fd26-4d36-b946-986882a2f3f5}" ma:internalName="TaxCatchAll" ma:showField="CatchAllData" ma:web="473925ec-06ed-4532-a7e8-c1e1c662e3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Auteur"/>
        <xsd:element ref="dc:title" minOccurs="0" maxOccurs="1" ma:index="4" ma:displayName="Auteur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08E045-FC97-4095-A532-A99D2657209F}"/>
</file>

<file path=customXml/itemProps2.xml><?xml version="1.0" encoding="utf-8"?>
<ds:datastoreItem xmlns:ds="http://schemas.openxmlformats.org/officeDocument/2006/customXml" ds:itemID="{3B058F6C-BD54-4238-A585-8DBD211E9F52}"/>
</file>

<file path=customXml/itemProps3.xml><?xml version="1.0" encoding="utf-8"?>
<ds:datastoreItem xmlns:ds="http://schemas.openxmlformats.org/officeDocument/2006/customXml" ds:itemID="{C50B45DF-591A-4F50-9FF5-CED3E868A334}"/>
</file>

<file path=docMetadata/LabelInfo.xml><?xml version="1.0" encoding="utf-8"?>
<clbl:labelList xmlns:clbl="http://schemas.microsoft.com/office/2020/mipLabelMetadata">
  <clbl:label id="{7bd8bb01-02a2-4100-b5f2-bad354bcf9bc}" enabled="1" method="Privileged" siteId="{91a30855-a777-43a6-8fad-66854b9a4d1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Exakis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TSP FY20</dc:title>
  <dc:subject/>
  <dc:creator>Auteur</dc:creator>
  <cp:keywords/>
  <dc:description/>
  <cp:lastModifiedBy>Auteur</cp:lastModifiedBy>
  <cp:revision/>
  <dcterms:created xsi:type="dcterms:W3CDTF">2014-12-15T13:37:43Z</dcterms:created>
  <dcterms:modified xsi:type="dcterms:W3CDTF">2026-09-03T12:56:10Z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0x010100384A420855CC0040B507DDB74BF1488C</vt:lpwstr>
  </property>
  <property fmtid="{D5CDD505-2E9C-101B-9397-08002B2CF9AE}" pid="3" name="AuthorIds_UIVersion_1024">
    <vt:lpwstr>23</vt:lpwstr>
  </property>
  <property fmtid="{D5CDD505-2E9C-101B-9397-08002B2CF9AE}" pid="4" name="MediaServiceImageTags">
    <vt:lpwstr/>
  </property>
  <property fmtid="{D5CDD505-2E9C-101B-9397-08002B2CF9AE}" pid="5" name="MSIP_Label_7bd8bb01-02a2-4100-b5f2-bad354bcf9bc_Enabled">
    <vt:lpwstr>true</vt:lpwstr>
  </property>
  <property fmtid="{D5CDD505-2E9C-101B-9397-08002B2CF9AE}" pid="6" name="MSIP_Label_7bd8bb01-02a2-4100-b5f2-bad354bcf9bc_SetDate">
    <vt:lpwstr>2024-02-28T14:34:39Z</vt:lpwstr>
  </property>
  <property fmtid="{D5CDD505-2E9C-101B-9397-08002B2CF9AE}" pid="7" name="MSIP_Label_7bd8bb01-02a2-4100-b5f2-bad354bcf9bc_Method">
    <vt:lpwstr>Privileged</vt:lpwstr>
  </property>
  <property fmtid="{D5CDD505-2E9C-101B-9397-08002B2CF9AE}" pid="8" name="MSIP_Label_7bd8bb01-02a2-4100-b5f2-bad354bcf9bc_Name">
    <vt:lpwstr>General</vt:lpwstr>
  </property>
  <property fmtid="{D5CDD505-2E9C-101B-9397-08002B2CF9AE}" pid="9" name="MSIP_Label_7bd8bb01-02a2-4100-b5f2-bad354bcf9bc_SiteId">
    <vt:lpwstr>91a30855-a777-43a6-8fad-66854b9a4d1b</vt:lpwstr>
  </property>
  <property fmtid="{D5CDD505-2E9C-101B-9397-08002B2CF9AE}" pid="10" name="MSIP_Label_7bd8bb01-02a2-4100-b5f2-bad354bcf9bc_ActionId">
    <vt:lpwstr>548fa8bc-1591-4cbc-a1e4-2f1350f7d4d7</vt:lpwstr>
  </property>
  <property fmtid="{D5CDD505-2E9C-101B-9397-08002B2CF9AE}" pid="11" name="MSIP_Label_7bd8bb01-02a2-4100-b5f2-bad354bcf9bc_ContentBits">
    <vt:lpwstr>0</vt:lpwstr>
  </property>
  <property fmtid="{D5CDD505-2E9C-101B-9397-08002B2CF9AE}" pid="12" name="Order">
    <vt:r8>1566500</vt:r8>
  </property>
  <property fmtid="{D5CDD505-2E9C-101B-9397-08002B2CF9AE}" pid="13" name="xd_Signature">
    <vt:bool>false</vt:bool>
  </property>
  <property fmtid="{D5CDD505-2E9C-101B-9397-08002B2CF9AE}" pid="14" name="xd_ProgID">
    <vt:lpwstr/>
  </property>
  <property fmtid="{D5CDD505-2E9C-101B-9397-08002B2CF9AE}" pid="15" name="TemplateUrl">
    <vt:lpwstr/>
  </property>
  <property fmtid="{D5CDD505-2E9C-101B-9397-08002B2CF9AE}" pid="16" name="ComplianceAssetId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</Properties>
</file>